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ontrol Panel" sheetId="2" state="visible" r:id="rId2"/>
    <sheet xmlns:r="http://schemas.openxmlformats.org/officeDocument/2006/relationships" name="Summary" sheetId="3" state="visible" r:id="rId3"/>
    <sheet xmlns:r="http://schemas.openxmlformats.org/officeDocument/2006/relationships" name="Team Roadmap" sheetId="4" state="visible" r:id="rId4"/>
    <sheet xmlns:r="http://schemas.openxmlformats.org/officeDocument/2006/relationships" name="DevEx - Build Costs" sheetId="5" state="visible" r:id="rId5"/>
    <sheet xmlns:r="http://schemas.openxmlformats.org/officeDocument/2006/relationships" name="OpEx - Ongoing" sheetId="6" state="visible" r:id="rId6"/>
    <sheet xmlns:r="http://schemas.openxmlformats.org/officeDocument/2006/relationships" name="Revenue Model" sheetId="7" state="visible" r:id="rId7"/>
    <sheet xmlns:r="http://schemas.openxmlformats.org/officeDocument/2006/relationships" name="5-Year P&amp;L Summary" sheetId="8" state="visible" r:id="rId8"/>
    <sheet xmlns:r="http://schemas.openxmlformats.org/officeDocument/2006/relationships" name="Ondo Benchmark" sheetId="9" state="visible" r:id="rId9"/>
    <sheet xmlns:r="http://schemas.openxmlformats.org/officeDocument/2006/relationships" name="Sources &amp; Validation" sheetId="10" state="visible" r:id="rId10"/>
    <sheet xmlns:r="http://schemas.openxmlformats.org/officeDocument/2006/relationships" name="Formula Reference" sheetId="11" state="visible" r:id="rId11"/>
    <sheet xmlns:r="http://schemas.openxmlformats.org/officeDocument/2006/relationships" name="Pre-Seed Deployment" sheetId="12" state="visible" r:id="rId12"/>
    <sheet xmlns:r="http://schemas.openxmlformats.org/officeDocument/2006/relationships" name="Seed Round Sizing" sheetId="13" state="visible" r:id="rId13"/>
    <sheet xmlns:r="http://schemas.openxmlformats.org/officeDocument/2006/relationships" name="Non-Dilutive Capital"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0%"/>
    <numFmt numFmtId="165" formatCode="\$#,##0.0"/>
    <numFmt numFmtId="166" formatCode="\$#,##0;&quot;($&quot;#,##0\);\-"/>
    <numFmt numFmtId="167" formatCode="0.000000"/>
    <numFmt numFmtId="168" formatCode="0.0"/>
    <numFmt numFmtId="169" formatCode="0.0000"/>
    <numFmt numFmtId="170" formatCode="\$#,##0"/>
    <numFmt numFmtId="171" formatCode="&quot;$&quot;#,##0"/>
  </numFmts>
  <fonts count="51">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28"/>
    </font>
    <font>
      <name val="Arial"/>
      <charset val="1"/>
      <family val="2"/>
      <color rgb="FFA8C4E0"/>
      <sz val="14"/>
    </font>
    <font>
      <name val="Arial"/>
      <charset val="1"/>
      <family val="2"/>
      <color rgb="FF8FAACC"/>
      <sz val="10"/>
    </font>
    <font>
      <name val="Arial"/>
      <charset val="1"/>
      <family val="2"/>
      <b val="1"/>
      <color rgb="FF1F4E79"/>
      <sz val="12"/>
    </font>
    <font>
      <name val="Arial"/>
      <charset val="1"/>
      <family val="2"/>
      <color rgb="FF333333"/>
      <sz val="10"/>
    </font>
    <font>
      <name val="Arial"/>
      <charset val="1"/>
      <family val="2"/>
      <b val="1"/>
      <color rgb="FF000000"/>
      <sz val="18"/>
    </font>
    <font>
      <name val="Calibri"/>
      <charset val="1"/>
      <family val="2"/>
      <color theme="1"/>
      <sz val="18"/>
    </font>
    <font>
      <name val="Arial"/>
      <charset val="1"/>
      <family val="2"/>
      <i val="1"/>
      <color rgb="FF666666"/>
      <sz val="9"/>
    </font>
    <font>
      <name val="Arial"/>
      <charset val="1"/>
      <family val="2"/>
      <b val="1"/>
      <color rgb="FFFFFFFF"/>
      <sz val="10"/>
    </font>
    <font>
      <name val="Arial"/>
      <charset val="1"/>
      <family val="2"/>
      <b val="1"/>
      <color rgb="FF000000"/>
      <sz val="11"/>
    </font>
    <font>
      <name val="Arial"/>
      <charset val="1"/>
      <family val="2"/>
      <color rgb="FF000000"/>
      <sz val="10"/>
    </font>
    <font>
      <name val="Arial"/>
      <charset val="1"/>
      <family val="2"/>
      <b val="1"/>
      <color rgb="FF0000FF"/>
      <sz val="10"/>
    </font>
    <font>
      <name val="Arial"/>
      <charset val="1"/>
      <family val="2"/>
      <color rgb="FF666666"/>
      <sz val="9"/>
    </font>
    <font>
      <name val="Arial"/>
      <charset val="1"/>
      <family val="2"/>
      <b val="1"/>
      <color rgb="FF000000"/>
      <sz val="10"/>
    </font>
    <font>
      <name val="Arial"/>
      <charset val="1"/>
      <family val="0"/>
      <b val="1"/>
      <color rgb="FFFFFFFF"/>
      <sz val="10"/>
    </font>
    <font>
      <name val="Arial"/>
      <charset val="1"/>
      <family val="0"/>
      <i val="1"/>
      <color rgb="FF595959"/>
      <sz val="9"/>
    </font>
    <font>
      <name val="Arial"/>
      <charset val="1"/>
      <family val="0"/>
      <sz val="10"/>
    </font>
    <font>
      <name val="Arial"/>
      <charset val="1"/>
      <family val="0"/>
      <color rgb="FF0000FF"/>
      <sz val="10"/>
    </font>
    <font>
      <name val="Arial"/>
      <charset val="1"/>
      <family val="2"/>
      <b val="1"/>
      <color rgb="FF1F4E79"/>
      <sz val="11"/>
    </font>
    <font>
      <name val="Arial"/>
      <charset val="1"/>
      <family val="2"/>
      <b val="1"/>
      <color rgb="FFC00000"/>
      <sz val="10"/>
    </font>
    <font>
      <name val="Arial"/>
      <charset val="1"/>
      <family val="2"/>
      <color rgb="FF008000"/>
      <sz val="10"/>
    </font>
    <font>
      <name val="Arial"/>
      <charset val="1"/>
      <family val="2"/>
      <b val="1"/>
      <color rgb="FF000000"/>
      <sz val="12"/>
    </font>
    <font>
      <name val="Arial"/>
      <charset val="1"/>
      <family val="2"/>
      <color rgb="FF0000FF"/>
      <sz val="10"/>
    </font>
    <font>
      <name val="Arial"/>
      <charset val="1"/>
      <family val="2"/>
      <color rgb="FFCCCCCC"/>
      <sz val="10"/>
    </font>
    <font>
      <name val="Arial"/>
      <charset val="1"/>
      <family val="0"/>
      <b val="1"/>
      <sz val="10"/>
    </font>
    <font>
      <name val="Arial"/>
      <charset val="1"/>
      <family val="2"/>
      <b val="1"/>
      <color rgb="FF008000"/>
      <sz val="10"/>
    </font>
    <font>
      <name val="Arial"/>
      <b val="1"/>
      <color rgb="00FFFFFF"/>
      <sz val="11"/>
    </font>
    <font>
      <name val="Arial"/>
      <sz val="10"/>
    </font>
    <font>
      <name val="Arial"/>
      <b val="1"/>
      <sz val="11"/>
    </font>
    <font>
      <name val="Arial"/>
      <b val="1"/>
      <sz val="10"/>
    </font>
    <font>
      <name val="Arial"/>
      <b val="1"/>
      <color rgb="001F3864"/>
      <sz val="10"/>
    </font>
    <font>
      <name val="Arial"/>
      <b val="1"/>
      <color rgb="001F3864"/>
      <sz val="11"/>
    </font>
    <font>
      <name val="Arial"/>
      <b val="1"/>
      <color rgb="00FFFFFF"/>
      <sz val="10"/>
    </font>
    <font>
      <name val="Arial"/>
      <i val="1"/>
      <color rgb="00595959"/>
      <sz val="9"/>
    </font>
    <font>
      <name val="Arial"/>
      <i val="1"/>
      <sz val="10"/>
    </font>
    <font>
      <name val="Arial"/>
      <b val="1"/>
      <color rgb="FF000000"/>
      <sz val="10"/>
    </font>
    <font>
      <name val="Arial"/>
      <b val="1"/>
      <color rgb="FF008000"/>
      <sz val="10"/>
    </font>
    <font>
      <b val="1"/>
    </font>
    <font>
      <b val="1"/>
      <sz val="13"/>
    </font>
    <font>
      <name val="Calibri"/>
      <sz val="11"/>
    </font>
    <font>
      <name val="Calibri"/>
      <b val="1"/>
      <color rgb="FF000000"/>
      <sz val="18"/>
    </font>
    <font>
      <name val="Calibri"/>
      <color rgb="FF666666"/>
      <sz val="9"/>
    </font>
    <font>
      <name val="Calibri"/>
      <b val="1"/>
      <color rgb="FF000000"/>
      <sz val="11"/>
    </font>
    <font>
      <name val="Calibri"/>
      <color rgb="FF000000"/>
      <sz val="10"/>
    </font>
    <font>
      <name val="Calibri"/>
      <b val="1"/>
      <color rgb="FF000000"/>
      <sz val="10"/>
    </font>
    <font>
      <name val="Calibri"/>
      <b val="1"/>
      <color rgb="FFFFFFFF"/>
      <sz val="10"/>
    </font>
    <font>
      <name val="Calibri"/>
      <color rgb="FF000000"/>
      <sz val="9"/>
    </font>
  </fonts>
  <fills count="25">
    <fill>
      <patternFill/>
    </fill>
    <fill>
      <patternFill patternType="gray125"/>
    </fill>
    <fill>
      <patternFill patternType="solid">
        <fgColor theme="1"/>
        <bgColor rgb="FF003300"/>
      </patternFill>
    </fill>
    <fill>
      <patternFill patternType="solid">
        <fgColor rgb="FF1F4E79"/>
        <bgColor rgb="FF1F3864"/>
      </patternFill>
    </fill>
    <fill>
      <patternFill patternType="solid">
        <fgColor rgb="FFE2EFDA"/>
        <bgColor rgb="FFD5F5E3"/>
      </patternFill>
    </fill>
    <fill>
      <patternFill patternType="solid">
        <fgColor rgb="FFFFFF00"/>
        <bgColor rgb="FFFFC000"/>
      </patternFill>
    </fill>
    <fill>
      <patternFill patternType="solid">
        <fgColor rgb="FFD6E4F0"/>
        <bgColor rgb="FFDAE8FC"/>
      </patternFill>
    </fill>
    <fill>
      <patternFill patternType="solid">
        <fgColor rgb="FFFCE4D6"/>
        <bgColor rgb="FFFFE6CC"/>
      </patternFill>
    </fill>
    <fill>
      <patternFill patternType="solid">
        <fgColor rgb="FFFFF2CC"/>
        <bgColor rgb="FFFFE6CC"/>
      </patternFill>
    </fill>
    <fill>
      <patternFill patternType="solid">
        <fgColor rgb="FFE8D5F5"/>
        <bgColor rgb="FFD6E4F0"/>
      </patternFill>
    </fill>
    <fill>
      <patternFill patternType="solid">
        <fgColor rgb="FFC5E0B4"/>
        <bgColor rgb="FFCCCCCC"/>
      </patternFill>
    </fill>
    <fill>
      <patternFill patternType="solid">
        <fgColor rgb="FFBDD7EE"/>
        <bgColor rgb="FFCCCCCC"/>
      </patternFill>
    </fill>
    <fill>
      <patternFill patternType="solid">
        <fgColor rgb="FFF2F2F2"/>
        <bgColor rgb="FFE2EFDA"/>
      </patternFill>
    </fill>
    <fill>
      <patternFill patternType="solid">
        <fgColor rgb="FFD5F5E3"/>
        <bgColor rgb="FFE2EFDA"/>
      </patternFill>
    </fill>
    <fill>
      <patternFill patternType="solid">
        <fgColor rgb="FF1F3864"/>
        <bgColor rgb="FF1F4E79"/>
      </patternFill>
    </fill>
    <fill>
      <patternFill patternType="solid">
        <fgColor rgb="FFDAE8FC"/>
        <bgColor rgb="FFD6E4F0"/>
      </patternFill>
    </fill>
    <fill>
      <patternFill patternType="solid">
        <fgColor rgb="FFFFE6CC"/>
        <bgColor rgb="FFFCE4D6"/>
      </patternFill>
    </fill>
    <fill>
      <patternFill patternType="solid">
        <fgColor rgb="001F3864"/>
        <bgColor rgb="001F3864"/>
      </patternFill>
    </fill>
    <fill>
      <patternFill patternType="solid">
        <fgColor rgb="00FFFFE0"/>
        <bgColor rgb="00FFFFE0"/>
      </patternFill>
    </fill>
    <fill>
      <patternFill patternType="solid">
        <fgColor rgb="00D9E1F2"/>
        <bgColor rgb="00D9E1F2"/>
      </patternFill>
    </fill>
    <fill>
      <patternFill patternType="solid">
        <fgColor rgb="FFE2EFDA"/>
        <bgColor rgb="FFE2EFDA"/>
      </patternFill>
    </fill>
    <fill>
      <patternFill patternType="solid">
        <fgColor rgb="FFD6E4F0"/>
        <bgColor rgb="FFD6E4F0"/>
      </patternFill>
    </fill>
    <fill>
      <patternFill patternType="solid">
        <fgColor rgb="FFFBE5D6"/>
        <bgColor rgb="FFFBE5D6"/>
      </patternFill>
    </fill>
    <fill>
      <patternFill patternType="solid">
        <fgColor rgb="FFF2F2F2"/>
        <bgColor rgb="FFF2F2F2"/>
      </patternFill>
    </fill>
    <fill>
      <patternFill patternType="solid">
        <fgColor rgb="FF1F4E79"/>
        <bgColor rgb="FF1F4E79"/>
      </patternFill>
    </fill>
  </fills>
  <borders count="11">
    <border>
      <left/>
      <right/>
      <top/>
      <bottom/>
      <diagonal/>
    </border>
    <border>
      <left/>
      <right/>
      <top/>
      <bottom style="thin">
        <color rgb="FF1F4E79"/>
      </bottom>
      <diagonal/>
    </border>
    <border>
      <left style="thin"/>
      <right style="thin"/>
      <top style="thin"/>
      <bottom style="thin"/>
      <diagonal/>
    </border>
    <border>
      <left style="thin"/>
      <right style="thin"/>
      <top style="double"/>
      <bottom style="double"/>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
    <border>
      <top style="thin">
        <color rgb="FF000000"/>
      </top>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0" borderId="1" applyAlignment="1" pivotButton="0" quotePrefix="0" xfId="0">
      <alignment horizontal="general" vertical="bottom"/>
    </xf>
    <xf numFmtId="0" fontId="8" fillId="0" borderId="0" applyAlignment="1" pivotButton="0" quotePrefix="0" xfId="0">
      <alignment horizontal="left" vertical="top" wrapText="1"/>
    </xf>
    <xf numFmtId="0" fontId="7" fillId="0" borderId="1" applyAlignment="1" pivotButton="0" quotePrefix="0" xfId="0">
      <alignment horizontal="general" vertical="center"/>
    </xf>
    <xf numFmtId="0" fontId="8" fillId="0" borderId="0" applyAlignment="1" pivotButton="0" quotePrefix="0" xfId="0">
      <alignment horizontal="general" vertical="center"/>
    </xf>
    <xf numFmtId="0" fontId="9" fillId="0" borderId="0" applyAlignment="1" pivotButton="0" quotePrefix="0" xfId="0">
      <alignment horizontal="general" vertical="center"/>
    </xf>
    <xf numFmtId="0" fontId="10" fillId="0" borderId="0" applyAlignment="1" pivotButton="0" quotePrefix="0" xfId="0">
      <alignment horizontal="general" vertical="center"/>
    </xf>
    <xf numFmtId="0" fontId="11" fillId="0" borderId="0" applyAlignment="1" pivotButton="0" quotePrefix="0" xfId="0">
      <alignment horizontal="general" vertical="bottom"/>
    </xf>
    <xf numFmtId="0" fontId="12" fillId="3" borderId="2" applyAlignment="1" pivotButton="0" quotePrefix="0" xfId="0">
      <alignment horizontal="center" vertical="center" wrapText="1"/>
    </xf>
    <xf numFmtId="0" fontId="13" fillId="4" borderId="2" applyAlignment="1" pivotButton="0" quotePrefix="0" xfId="0">
      <alignment horizontal="general" vertical="bottom"/>
    </xf>
    <xf numFmtId="0" fontId="14" fillId="0" borderId="2" applyAlignment="1" pivotButton="0" quotePrefix="0" xfId="0">
      <alignment horizontal="left" vertical="center" wrapText="1"/>
    </xf>
    <xf numFmtId="0" fontId="15" fillId="5" borderId="2" applyAlignment="1" pivotButton="0" quotePrefix="0" xfId="0">
      <alignment horizontal="center" vertical="center" wrapText="1"/>
    </xf>
    <xf numFmtId="0" fontId="0" fillId="0" borderId="2" applyAlignment="1" pivotButton="0" quotePrefix="0" xfId="0">
      <alignment horizontal="center" vertical="center" wrapText="1"/>
    </xf>
    <xf numFmtId="0" fontId="16" fillId="0" borderId="2" applyAlignment="1" pivotButton="0" quotePrefix="0" xfId="0">
      <alignment horizontal="general" vertical="bottom"/>
    </xf>
    <xf numFmtId="0" fontId="13" fillId="6" borderId="2" applyAlignment="1" pivotButton="0" quotePrefix="0" xfId="0">
      <alignment horizontal="general" vertical="bottom"/>
    </xf>
    <xf numFmtId="0" fontId="13" fillId="7" borderId="2" applyAlignment="1" pivotButton="0" quotePrefix="0" xfId="0">
      <alignment horizontal="general" vertical="bottom"/>
    </xf>
    <xf numFmtId="164" fontId="15" fillId="5" borderId="2" applyAlignment="1" pivotButton="0" quotePrefix="0" xfId="0">
      <alignment horizontal="center" vertical="center" wrapText="1"/>
    </xf>
    <xf numFmtId="0" fontId="14" fillId="0" borderId="2" applyAlignment="1" pivotButton="0" quotePrefix="0" xfId="0">
      <alignment horizontal="center" vertical="center" wrapText="1"/>
    </xf>
    <xf numFmtId="3" fontId="15" fillId="5" borderId="2" applyAlignment="1" pivotButton="0" quotePrefix="0" xfId="0">
      <alignment horizontal="center" vertical="center" wrapText="1"/>
    </xf>
    <xf numFmtId="165" fontId="15" fillId="5" borderId="2" applyAlignment="1" pivotButton="0" quotePrefix="0" xfId="0">
      <alignment horizontal="center" vertical="center" wrapText="1"/>
    </xf>
    <xf numFmtId="166" fontId="15" fillId="5" borderId="2" applyAlignment="1" pivotButton="0" quotePrefix="0" xfId="0">
      <alignment horizontal="center" vertical="center" wrapText="1"/>
    </xf>
    <xf numFmtId="0" fontId="13" fillId="8" borderId="2" applyAlignment="1" pivotButton="0" quotePrefix="0" xfId="0">
      <alignment horizontal="general" vertical="bottom"/>
    </xf>
    <xf numFmtId="167" fontId="15" fillId="5" borderId="2" applyAlignment="1" pivotButton="0" quotePrefix="0" xfId="0">
      <alignment horizontal="center" vertical="center" wrapText="1"/>
    </xf>
    <xf numFmtId="2" fontId="15" fillId="5" borderId="2" applyAlignment="1" pivotButton="0" quotePrefix="0" xfId="0">
      <alignment horizontal="center" vertical="center" wrapText="1"/>
    </xf>
    <xf numFmtId="1" fontId="15" fillId="5" borderId="2" applyAlignment="1" pivotButton="0" quotePrefix="0" xfId="0">
      <alignment horizontal="center" vertical="center" wrapText="1"/>
    </xf>
    <xf numFmtId="168" fontId="15" fillId="5" borderId="2" applyAlignment="1" pivotButton="0" quotePrefix="0" xfId="0">
      <alignment horizontal="center" vertical="center" wrapText="1"/>
    </xf>
    <xf numFmtId="0" fontId="14" fillId="0" borderId="2" applyAlignment="1" pivotButton="0" quotePrefix="0" xfId="0">
      <alignment horizontal="general" vertical="bottom"/>
    </xf>
    <xf numFmtId="169" fontId="15" fillId="5" borderId="2" applyAlignment="1" pivotButton="0" quotePrefix="0" xfId="0">
      <alignment horizontal="center" vertical="center" wrapText="1"/>
    </xf>
    <xf numFmtId="0" fontId="13" fillId="9" borderId="2" applyAlignment="1" pivotButton="0" quotePrefix="0" xfId="0">
      <alignment horizontal="general" vertical="bottom"/>
    </xf>
    <xf numFmtId="0" fontId="13" fillId="10" borderId="2" applyAlignment="1" pivotButton="0" quotePrefix="0" xfId="0">
      <alignment horizontal="general" vertical="bottom"/>
    </xf>
    <xf numFmtId="164" fontId="17" fillId="0" borderId="2" applyAlignment="1" pivotButton="0" quotePrefix="0" xfId="0">
      <alignment horizontal="center" vertical="center" wrapText="1"/>
    </xf>
    <xf numFmtId="0" fontId="13" fillId="11" borderId="2" applyAlignment="1" pivotButton="0" quotePrefix="0" xfId="0">
      <alignment horizontal="general" vertical="bottom"/>
    </xf>
    <xf numFmtId="0" fontId="17" fillId="0" borderId="2" applyAlignment="1" pivotButton="0" quotePrefix="0" xfId="0">
      <alignment horizontal="left" vertical="center" wrapText="1"/>
    </xf>
    <xf numFmtId="0" fontId="16" fillId="0" borderId="0" applyAlignment="1" pivotButton="0" quotePrefix="0" xfId="0">
      <alignment horizontal="general" vertical="bottom"/>
    </xf>
    <xf numFmtId="0" fontId="13" fillId="12" borderId="2" applyAlignment="1" pivotButton="0" quotePrefix="0" xfId="0">
      <alignment horizontal="general" vertical="bottom"/>
    </xf>
    <xf numFmtId="0" fontId="14" fillId="12" borderId="2" applyAlignment="1" pivotButton="0" quotePrefix="0" xfId="0">
      <alignment horizontal="left" vertical="center" wrapText="1"/>
    </xf>
    <xf numFmtId="0" fontId="15" fillId="12" borderId="2" applyAlignment="1" pivotButton="0" quotePrefix="0" xfId="0">
      <alignment horizontal="center" vertical="center" wrapText="1"/>
    </xf>
    <xf numFmtId="0" fontId="16" fillId="12" borderId="2" applyAlignment="1" pivotButton="0" quotePrefix="0" xfId="0">
      <alignment horizontal="center" vertical="center" wrapText="1"/>
    </xf>
    <xf numFmtId="0" fontId="16" fillId="12" borderId="2" applyAlignment="1" pivotButton="0" quotePrefix="0" xfId="0">
      <alignment horizontal="left" vertical="center" wrapText="1"/>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2" applyAlignment="1" pivotButton="0" quotePrefix="0" xfId="0">
      <alignment horizontal="left" vertical="center" wrapText="1"/>
    </xf>
    <xf numFmtId="0" fontId="13" fillId="13" borderId="2" applyAlignment="1" pivotButton="0" quotePrefix="0" xfId="0">
      <alignment horizontal="general" vertical="bottom"/>
    </xf>
    <xf numFmtId="166" fontId="17" fillId="0" borderId="2" applyAlignment="1" pivotButton="0" quotePrefix="0" xfId="0">
      <alignment horizontal="center" vertical="center" wrapText="1"/>
    </xf>
    <xf numFmtId="0" fontId="0" fillId="0" borderId="2" applyAlignment="1" pivotButton="0" quotePrefix="0" xfId="0">
      <alignment horizontal="general" vertical="bottom"/>
    </xf>
    <xf numFmtId="166" fontId="17" fillId="0" borderId="3" applyAlignment="1" pivotButton="0" quotePrefix="0" xfId="0">
      <alignment horizontal="center" vertical="center" wrapText="1"/>
    </xf>
    <xf numFmtId="0" fontId="18" fillId="14" borderId="0" applyAlignment="1" pivotButton="0" quotePrefix="0" xfId="0">
      <alignment horizontal="general" vertical="bottom"/>
    </xf>
    <xf numFmtId="0" fontId="0" fillId="14"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21" fillId="5" borderId="0" applyAlignment="1" pivotButton="0" quotePrefix="0" xfId="0">
      <alignment horizontal="general" vertical="bottom"/>
    </xf>
    <xf numFmtId="164" fontId="21" fillId="5" borderId="0" applyAlignment="1" pivotButton="0" quotePrefix="0" xfId="0">
      <alignment horizontal="general" vertical="bottom"/>
    </xf>
    <xf numFmtId="170" fontId="21" fillId="5" borderId="0" applyAlignment="1" pivotButton="0" quotePrefix="0" xfId="0">
      <alignment horizontal="general" vertical="bottom"/>
    </xf>
    <xf numFmtId="170" fontId="0" fillId="0" borderId="0" applyAlignment="1" pivotButton="0" quotePrefix="0" xfId="0">
      <alignment horizontal="general" vertical="bottom"/>
    </xf>
    <xf numFmtId="0" fontId="17" fillId="12" borderId="2" applyAlignment="1" pivotButton="0" quotePrefix="0" xfId="0">
      <alignment horizontal="left" vertical="center" wrapText="1"/>
    </xf>
    <xf numFmtId="166" fontId="22" fillId="12" borderId="2" applyAlignment="1" pivotButton="0" quotePrefix="0" xfId="0">
      <alignment horizontal="center" vertical="center" wrapText="1"/>
    </xf>
    <xf numFmtId="0" fontId="16" fillId="12" borderId="2" applyAlignment="1" pivotButton="0" quotePrefix="0" xfId="0">
      <alignment horizontal="general" vertical="bottom"/>
    </xf>
    <xf numFmtId="166" fontId="22" fillId="0" borderId="2" applyAlignment="1" pivotButton="0" quotePrefix="0" xfId="0">
      <alignment horizontal="center" vertical="center" wrapText="1"/>
    </xf>
    <xf numFmtId="166" fontId="22" fillId="15" borderId="2" applyAlignment="1" pivotButton="0" quotePrefix="0" xfId="0">
      <alignment horizontal="center" vertical="center" wrapText="1"/>
    </xf>
    <xf numFmtId="166" fontId="23" fillId="16" borderId="2" applyAlignment="1" pivotButton="0" quotePrefix="0" xfId="0">
      <alignment horizontal="center" vertical="center" wrapText="1"/>
    </xf>
    <xf numFmtId="166" fontId="24" fillId="12" borderId="2" applyAlignment="1" pivotButton="0" quotePrefix="0" xfId="0">
      <alignment horizontal="center" vertical="center" wrapText="1"/>
    </xf>
    <xf numFmtId="166" fontId="24" fillId="0" borderId="2" applyAlignment="1" pivotButton="0" quotePrefix="0" xfId="0">
      <alignment horizontal="center" vertical="center" wrapText="1"/>
    </xf>
    <xf numFmtId="164" fontId="22" fillId="15" borderId="2" applyAlignment="1" pivotButton="0" quotePrefix="0" xfId="0">
      <alignment horizontal="center" vertical="center" wrapText="1"/>
    </xf>
    <xf numFmtId="164" fontId="23" fillId="16" borderId="2" applyAlignment="1" pivotButton="0" quotePrefix="0" xfId="0">
      <alignment horizontal="center" vertical="center" wrapText="1"/>
    </xf>
    <xf numFmtId="164" fontId="24" fillId="0" borderId="2" applyAlignment="1" pivotButton="0" quotePrefix="0" xfId="0">
      <alignment horizontal="center" vertical="center" wrapText="1"/>
    </xf>
    <xf numFmtId="0" fontId="17" fillId="4" borderId="2" applyAlignment="1" pivotButton="0" quotePrefix="0" xfId="0">
      <alignment horizontal="left" vertical="center" wrapText="1"/>
    </xf>
    <xf numFmtId="166" fontId="24" fillId="4" borderId="2" applyAlignment="1" pivotButton="0" quotePrefix="0" xfId="0">
      <alignment horizontal="center" vertical="center" wrapText="1"/>
    </xf>
    <xf numFmtId="0" fontId="17" fillId="7" borderId="2" applyAlignment="1" pivotButton="0" quotePrefix="0" xfId="0">
      <alignment horizontal="left" vertical="center" wrapText="1"/>
    </xf>
    <xf numFmtId="166" fontId="24" fillId="7" borderId="2" applyAlignment="1" pivotButton="0" quotePrefix="0" xfId="0">
      <alignment horizontal="center" vertical="center" wrapText="1"/>
    </xf>
    <xf numFmtId="0" fontId="25" fillId="0" borderId="3" applyAlignment="1" pivotButton="0" quotePrefix="0" xfId="0">
      <alignment horizontal="left" vertical="center" wrapText="1"/>
    </xf>
    <xf numFmtId="0" fontId="13" fillId="15" borderId="2" applyAlignment="1" pivotButton="0" quotePrefix="0" xfId="0">
      <alignment horizontal="general" vertical="bottom"/>
    </xf>
    <xf numFmtId="0" fontId="23" fillId="0" borderId="2" applyAlignment="1" pivotButton="0" quotePrefix="0" xfId="0">
      <alignment horizontal="left" vertical="center" wrapText="1"/>
    </xf>
    <xf numFmtId="166" fontId="23" fillId="0" borderId="2" applyAlignment="1" pivotButton="0" quotePrefix="0" xfId="0">
      <alignment horizontal="center" vertical="center" wrapText="1"/>
    </xf>
    <xf numFmtId="0" fontId="24" fillId="0" borderId="3" applyAlignment="1" pivotButton="0" quotePrefix="0" xfId="0">
      <alignment horizontal="left" vertical="center" wrapText="1"/>
    </xf>
    <xf numFmtId="0" fontId="17" fillId="0" borderId="3" applyAlignment="1" pivotButton="0" quotePrefix="0" xfId="0">
      <alignment horizontal="left" vertical="center" wrapText="1"/>
    </xf>
    <xf numFmtId="0" fontId="14" fillId="0" borderId="2" applyAlignment="1" pivotButton="0" quotePrefix="0" xfId="0">
      <alignment horizontal="left" vertical="top" wrapText="1"/>
    </xf>
    <xf numFmtId="0" fontId="16" fillId="0" borderId="2" applyAlignment="1" pivotButton="0" quotePrefix="0" xfId="0">
      <alignment horizontal="left" vertical="top" wrapText="1"/>
    </xf>
    <xf numFmtId="0" fontId="23" fillId="0" borderId="2" applyAlignment="1" pivotButton="0" quotePrefix="0" xfId="0">
      <alignment horizontal="center" vertical="center" wrapText="1"/>
    </xf>
    <xf numFmtId="0" fontId="17" fillId="0" borderId="3" applyAlignment="1" pivotButton="0" quotePrefix="0" xfId="0">
      <alignment horizontal="general" vertical="bottom"/>
    </xf>
    <xf numFmtId="0" fontId="0" fillId="0" borderId="3" applyAlignment="1" pivotButton="0" quotePrefix="0" xfId="0">
      <alignment horizontal="general" vertical="bottom"/>
    </xf>
    <xf numFmtId="0" fontId="23" fillId="0" borderId="3" applyAlignment="1" pivotButton="0" quotePrefix="0" xfId="0">
      <alignment horizontal="center" vertical="center" wrapText="1"/>
    </xf>
    <xf numFmtId="0" fontId="17" fillId="0" borderId="2" applyAlignment="1" pivotButton="0" quotePrefix="0" xfId="0">
      <alignment horizontal="center" vertical="center" wrapText="1"/>
    </xf>
    <xf numFmtId="166" fontId="17" fillId="12" borderId="2" applyAlignment="1" pivotButton="0" quotePrefix="0" xfId="0">
      <alignment horizontal="center" vertical="center" wrapText="1"/>
    </xf>
    <xf numFmtId="0" fontId="25" fillId="0" borderId="2" applyAlignment="1" pivotButton="0" quotePrefix="0" xfId="0">
      <alignment horizontal="left" vertical="center" wrapText="1"/>
    </xf>
    <xf numFmtId="166" fontId="25" fillId="0" borderId="3" applyAlignment="1" pivotButton="0" quotePrefix="0" xfId="0">
      <alignment horizontal="center" vertical="center" wrapText="1"/>
    </xf>
    <xf numFmtId="0" fontId="12" fillId="15" borderId="2" applyAlignment="1" pivotButton="0" quotePrefix="0" xfId="0">
      <alignment horizontal="center" vertical="center" wrapText="1"/>
    </xf>
    <xf numFmtId="0" fontId="12" fillId="16" borderId="2" applyAlignment="1" pivotButton="0" quotePrefix="0" xfId="0">
      <alignment horizontal="center" vertical="center" wrapText="1"/>
    </xf>
    <xf numFmtId="166" fontId="26" fillId="0" borderId="2" applyAlignment="1" pivotButton="0" quotePrefix="0" xfId="0">
      <alignment horizontal="center" vertical="center" wrapText="1"/>
    </xf>
    <xf numFmtId="168" fontId="26" fillId="15" borderId="2" applyAlignment="1" pivotButton="0" quotePrefix="0" xfId="0">
      <alignment horizontal="center" vertical="center" wrapText="1"/>
    </xf>
    <xf numFmtId="168" fontId="14" fillId="16" borderId="2" applyAlignment="1" pivotButton="0" quotePrefix="0" xfId="0">
      <alignment horizontal="center" vertical="center" wrapText="1"/>
    </xf>
    <xf numFmtId="164" fontId="23" fillId="0" borderId="2" applyAlignment="1" pivotButton="0" quotePrefix="0" xfId="0">
      <alignment horizontal="center" vertical="center" wrapText="1"/>
    </xf>
    <xf numFmtId="168" fontId="27" fillId="0" borderId="2" applyAlignment="1" pivotButton="0" quotePrefix="0" xfId="0">
      <alignment horizontal="center" vertical="center" wrapText="1"/>
    </xf>
    <xf numFmtId="168" fontId="17" fillId="0" borderId="3" applyAlignment="1" pivotButton="0" quotePrefix="0" xfId="0">
      <alignment horizontal="center" vertical="center" wrapText="1"/>
    </xf>
    <xf numFmtId="0" fontId="24" fillId="0" borderId="0" applyAlignment="1" pivotButton="0" quotePrefix="0" xfId="0">
      <alignment horizontal="general" vertical="bottom"/>
    </xf>
    <xf numFmtId="0" fontId="23" fillId="0" borderId="0" applyAlignment="1" pivotButton="0" quotePrefix="0" xfId="0">
      <alignment horizontal="general" vertical="bottom"/>
    </xf>
    <xf numFmtId="0" fontId="24" fillId="0" borderId="2" applyAlignment="1" pivotButton="0" quotePrefix="0" xfId="0">
      <alignment horizontal="center" vertical="center" wrapText="1"/>
    </xf>
    <xf numFmtId="0" fontId="14" fillId="0" borderId="0" applyAlignment="1" pivotButton="0" quotePrefix="0" xfId="0">
      <alignment horizontal="general" vertical="bottom"/>
    </xf>
    <xf numFmtId="0" fontId="17" fillId="0" borderId="0" applyAlignment="1" pivotButton="0" quotePrefix="0" xfId="0">
      <alignment horizontal="general" vertical="bottom"/>
    </xf>
    <xf numFmtId="3" fontId="14" fillId="0" borderId="2" applyAlignment="1" pivotButton="0" quotePrefix="0" xfId="0">
      <alignment horizontal="center" vertical="center" wrapText="1"/>
    </xf>
    <xf numFmtId="1" fontId="14" fillId="0" borderId="2" applyAlignment="1" pivotButton="0" quotePrefix="0" xfId="0">
      <alignment horizontal="center" vertical="center" wrapText="1"/>
    </xf>
    <xf numFmtId="164" fontId="14" fillId="0" borderId="0" applyAlignment="1" pivotButton="0" quotePrefix="0" xfId="0">
      <alignment horizontal="general" vertical="bottom"/>
    </xf>
    <xf numFmtId="3" fontId="14" fillId="0" borderId="0" applyAlignment="1" pivotButton="0" quotePrefix="0" xfId="0">
      <alignment horizontal="general" vertical="bottom"/>
    </xf>
    <xf numFmtId="0" fontId="17" fillId="12" borderId="2" applyAlignment="1" pivotButton="0" quotePrefix="0" xfId="0">
      <alignment horizontal="center" vertical="center" wrapText="1"/>
    </xf>
    <xf numFmtId="167" fontId="14" fillId="12" borderId="2" applyAlignment="1" pivotButton="0" quotePrefix="0" xfId="0">
      <alignment horizontal="center" vertical="center" wrapText="1"/>
    </xf>
    <xf numFmtId="2" fontId="14" fillId="12" borderId="2" applyAlignment="1" pivotButton="0" quotePrefix="0" xfId="0">
      <alignment horizontal="center" vertical="center" wrapText="1"/>
    </xf>
    <xf numFmtId="0" fontId="14" fillId="12" borderId="2" applyAlignment="1" pivotButton="0" quotePrefix="0" xfId="0">
      <alignment horizontal="center" vertical="center" wrapText="1"/>
    </xf>
    <xf numFmtId="167" fontId="14" fillId="0" borderId="2" applyAlignment="1" pivotButton="0" quotePrefix="0" xfId="0">
      <alignment horizontal="center" vertical="center" wrapText="1"/>
    </xf>
    <xf numFmtId="2" fontId="14" fillId="0" borderId="2" applyAlignment="1" pivotButton="0" quotePrefix="0" xfId="0">
      <alignment horizontal="center" vertical="center" wrapText="1"/>
    </xf>
    <xf numFmtId="166" fontId="14" fillId="12" borderId="2" applyAlignment="1" pivotButton="0" quotePrefix="0" xfId="0">
      <alignment horizontal="center" vertical="center" wrapText="1"/>
    </xf>
    <xf numFmtId="166" fontId="14"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28" fillId="0" borderId="0" applyAlignment="1" pivotButton="0" quotePrefix="0" xfId="0">
      <alignment horizontal="general" vertical="bottom"/>
    </xf>
    <xf numFmtId="0" fontId="0" fillId="13" borderId="2" applyAlignment="1" pivotButton="0" quotePrefix="0" xfId="0">
      <alignment horizontal="general" vertical="bottom"/>
    </xf>
    <xf numFmtId="0" fontId="29" fillId="0" borderId="2" applyAlignment="1" pivotButton="0" quotePrefix="0" xfId="0">
      <alignment horizontal="left" vertical="center" wrapText="1"/>
    </xf>
    <xf numFmtId="166" fontId="29" fillId="0" borderId="2" applyAlignment="1" pivotButton="0" quotePrefix="0" xfId="0">
      <alignment horizontal="center" vertical="center" wrapText="1"/>
    </xf>
    <xf numFmtId="0" fontId="25" fillId="0" borderId="3" applyAlignment="1" pivotButton="0" quotePrefix="0" xfId="0">
      <alignment horizontal="general" vertical="bottom"/>
    </xf>
    <xf numFmtId="0" fontId="26" fillId="12" borderId="2" applyAlignment="1" pivotButton="0" quotePrefix="0" xfId="0">
      <alignment horizontal="center" vertical="center" wrapText="1"/>
    </xf>
    <xf numFmtId="0" fontId="26" fillId="0" borderId="2" applyAlignment="1" pivotButton="0" quotePrefix="0" xfId="0">
      <alignment horizontal="center" vertical="center" wrapText="1"/>
    </xf>
    <xf numFmtId="166" fontId="26" fillId="12" borderId="2" applyAlignment="1" pivotButton="0" quotePrefix="0" xfId="0">
      <alignment horizontal="center" vertical="center" wrapText="1"/>
    </xf>
    <xf numFmtId="0" fontId="14" fillId="12" borderId="2" applyAlignment="1" pivotButton="0" quotePrefix="0" xfId="0">
      <alignment horizontal="left" vertical="top" wrapText="1"/>
    </xf>
    <xf numFmtId="0" fontId="26" fillId="12" borderId="2" applyAlignment="1" pivotButton="0" quotePrefix="0" xfId="0">
      <alignment horizontal="left" vertical="top" wrapText="1"/>
    </xf>
    <xf numFmtId="0" fontId="16" fillId="12" borderId="2" applyAlignment="1" pivotButton="0" quotePrefix="0" xfId="0">
      <alignment horizontal="left" vertical="top" wrapText="1"/>
    </xf>
    <xf numFmtId="0" fontId="26" fillId="0" borderId="2" applyAlignment="1" pivotButton="0" quotePrefix="0" xfId="0">
      <alignment horizontal="left" vertical="top" wrapText="1"/>
    </xf>
    <xf numFmtId="0" fontId="14" fillId="0" borderId="0" applyAlignment="1" pivotButton="0" quotePrefix="0" xfId="0">
      <alignment horizontal="left" vertical="top" wrapText="1"/>
    </xf>
    <xf numFmtId="0" fontId="15" fillId="0" borderId="2" applyAlignment="1" pivotButton="0" quotePrefix="0" xfId="0">
      <alignment horizontal="left" vertical="center" wrapText="1"/>
    </xf>
    <xf numFmtId="0" fontId="15" fillId="12" borderId="2" applyAlignment="1" pivotButton="0" quotePrefix="0" xfId="0">
      <alignment horizontal="left" vertical="center" wrapText="1"/>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pivotButton="0" quotePrefix="0" xfId="0"/>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0" borderId="1" applyAlignment="1" pivotButton="0" quotePrefix="0" xfId="0">
      <alignment horizontal="general" vertical="bottom"/>
    </xf>
    <xf numFmtId="0" fontId="8" fillId="0" borderId="0" applyAlignment="1" pivotButton="0" quotePrefix="0" xfId="0">
      <alignment horizontal="left" vertical="top" wrapText="1"/>
    </xf>
    <xf numFmtId="0" fontId="7" fillId="0" borderId="1" applyAlignment="1" pivotButton="0" quotePrefix="0" xfId="0">
      <alignment horizontal="general" vertical="center"/>
    </xf>
    <xf numFmtId="0" fontId="8" fillId="0" borderId="0" applyAlignment="1" pivotButton="0" quotePrefix="0" xfId="0">
      <alignment horizontal="general" vertical="center"/>
    </xf>
    <xf numFmtId="0" fontId="10" fillId="0" borderId="0" applyAlignment="1" pivotButton="0" quotePrefix="0" xfId="0">
      <alignment horizontal="general" vertical="center"/>
    </xf>
    <xf numFmtId="0" fontId="9" fillId="0" borderId="0" applyAlignment="1" pivotButton="0" quotePrefix="0" xfId="0">
      <alignment horizontal="general" vertical="center"/>
    </xf>
    <xf numFmtId="0" fontId="11" fillId="0" borderId="0" applyAlignment="1" pivotButton="0" quotePrefix="0" xfId="0">
      <alignment horizontal="general" vertical="bottom"/>
    </xf>
    <xf numFmtId="0" fontId="12" fillId="3" borderId="2" applyAlignment="1" pivotButton="0" quotePrefix="0" xfId="0">
      <alignment horizontal="center" vertical="center" wrapText="1"/>
    </xf>
    <xf numFmtId="0" fontId="13" fillId="4" borderId="2" applyAlignment="1" pivotButton="0" quotePrefix="0" xfId="0">
      <alignment horizontal="general" vertical="bottom"/>
    </xf>
    <xf numFmtId="0" fontId="14" fillId="0" borderId="2" applyAlignment="1" pivotButton="0" quotePrefix="0" xfId="0">
      <alignment horizontal="left" vertical="center" wrapText="1"/>
    </xf>
    <xf numFmtId="0" fontId="15" fillId="5" borderId="2" applyAlignment="1" pivotButton="0" quotePrefix="0" xfId="0">
      <alignment horizontal="center" vertical="center" wrapText="1"/>
    </xf>
    <xf numFmtId="0" fontId="0" fillId="0" borderId="2" applyAlignment="1" pivotButton="0" quotePrefix="0" xfId="0">
      <alignment horizontal="center" vertical="center" wrapText="1"/>
    </xf>
    <xf numFmtId="0" fontId="16" fillId="0" borderId="2" applyAlignment="1" pivotButton="0" quotePrefix="0" xfId="0">
      <alignment horizontal="general" vertical="bottom"/>
    </xf>
    <xf numFmtId="0" fontId="13" fillId="6" borderId="2" applyAlignment="1" pivotButton="0" quotePrefix="0" xfId="0">
      <alignment horizontal="general" vertical="bottom"/>
    </xf>
    <xf numFmtId="0" fontId="13" fillId="7" borderId="2" applyAlignment="1" pivotButton="0" quotePrefix="0" xfId="0">
      <alignment horizontal="general" vertical="bottom"/>
    </xf>
    <xf numFmtId="164" fontId="15" fillId="5" borderId="2" applyAlignment="1" pivotButton="0" quotePrefix="0" xfId="0">
      <alignment horizontal="center" vertical="center" wrapText="1"/>
    </xf>
    <xf numFmtId="0" fontId="14" fillId="0" borderId="2" applyAlignment="1" pivotButton="0" quotePrefix="0" xfId="0">
      <alignment horizontal="center" vertical="center" wrapText="1"/>
    </xf>
    <xf numFmtId="3" fontId="15" fillId="5" borderId="2" applyAlignment="1" pivotButton="0" quotePrefix="0" xfId="0">
      <alignment horizontal="center" vertical="center" wrapText="1"/>
    </xf>
    <xf numFmtId="165" fontId="15" fillId="5" borderId="2" applyAlignment="1" pivotButton="0" quotePrefix="0" xfId="0">
      <alignment horizontal="center" vertical="center" wrapText="1"/>
    </xf>
    <xf numFmtId="166" fontId="15" fillId="5" borderId="2" applyAlignment="1" pivotButton="0" quotePrefix="0" xfId="0">
      <alignment horizontal="center" vertical="center" wrapText="1"/>
    </xf>
    <xf numFmtId="0" fontId="13" fillId="8" borderId="2" applyAlignment="1" pivotButton="0" quotePrefix="0" xfId="0">
      <alignment horizontal="general" vertical="bottom"/>
    </xf>
    <xf numFmtId="167" fontId="15" fillId="5" borderId="2" applyAlignment="1" pivotButton="0" quotePrefix="0" xfId="0">
      <alignment horizontal="center" vertical="center" wrapText="1"/>
    </xf>
    <xf numFmtId="2" fontId="15" fillId="5" borderId="2" applyAlignment="1" pivotButton="0" quotePrefix="0" xfId="0">
      <alignment horizontal="center" vertical="center" wrapText="1"/>
    </xf>
    <xf numFmtId="1" fontId="15" fillId="5" borderId="2" applyAlignment="1" pivotButton="0" quotePrefix="0" xfId="0">
      <alignment horizontal="center" vertical="center" wrapText="1"/>
    </xf>
    <xf numFmtId="168" fontId="15" fillId="5" borderId="2" applyAlignment="1" pivotButton="0" quotePrefix="0" xfId="0">
      <alignment horizontal="center" vertical="center" wrapText="1"/>
    </xf>
    <xf numFmtId="0" fontId="14" fillId="0" borderId="2" applyAlignment="1" pivotButton="0" quotePrefix="0" xfId="0">
      <alignment horizontal="general" vertical="bottom"/>
    </xf>
    <xf numFmtId="169" fontId="15" fillId="5" borderId="2" applyAlignment="1" pivotButton="0" quotePrefix="0" xfId="0">
      <alignment horizontal="center" vertical="center" wrapText="1"/>
    </xf>
    <xf numFmtId="0" fontId="13" fillId="9" borderId="2" applyAlignment="1" pivotButton="0" quotePrefix="0" xfId="0">
      <alignment horizontal="general" vertical="bottom"/>
    </xf>
    <xf numFmtId="0" fontId="13" fillId="10" borderId="2" applyAlignment="1" pivotButton="0" quotePrefix="0" xfId="0">
      <alignment horizontal="general" vertical="bottom"/>
    </xf>
    <xf numFmtId="164" fontId="17" fillId="0" borderId="2" applyAlignment="1" pivotButton="0" quotePrefix="0" xfId="0">
      <alignment horizontal="center" vertical="center" wrapText="1"/>
    </xf>
    <xf numFmtId="0" fontId="13" fillId="11" borderId="2" applyAlignment="1" pivotButton="0" quotePrefix="0" xfId="0">
      <alignment horizontal="general" vertical="bottom"/>
    </xf>
    <xf numFmtId="0" fontId="17" fillId="0" borderId="2" applyAlignment="1" pivotButton="0" quotePrefix="0" xfId="0">
      <alignment horizontal="left" vertical="center" wrapText="1"/>
    </xf>
    <xf numFmtId="0" fontId="16" fillId="0" borderId="0" applyAlignment="1" pivotButton="0" quotePrefix="0" xfId="0">
      <alignment horizontal="general" vertical="bottom"/>
    </xf>
    <xf numFmtId="0" fontId="13" fillId="12" borderId="2" applyAlignment="1" pivotButton="0" quotePrefix="0" xfId="0">
      <alignment horizontal="general" vertical="bottom"/>
    </xf>
    <xf numFmtId="0" fontId="14" fillId="12" borderId="2" applyAlignment="1" pivotButton="0" quotePrefix="0" xfId="0">
      <alignment horizontal="left" vertical="center" wrapText="1"/>
    </xf>
    <xf numFmtId="0" fontId="15" fillId="12" borderId="2" applyAlignment="1" pivotButton="0" quotePrefix="0" xfId="0">
      <alignment horizontal="center" vertical="center" wrapText="1"/>
    </xf>
    <xf numFmtId="0" fontId="16" fillId="12" borderId="2" applyAlignment="1" pivotButton="0" quotePrefix="0" xfId="0">
      <alignment horizontal="center" vertical="center" wrapText="1"/>
    </xf>
    <xf numFmtId="0" fontId="16" fillId="12" borderId="2" applyAlignment="1" pivotButton="0" quotePrefix="0" xfId="0">
      <alignment horizontal="left" vertical="center" wrapText="1"/>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2" applyAlignment="1" pivotButton="0" quotePrefix="0" xfId="0">
      <alignment horizontal="left" vertical="center" wrapText="1"/>
    </xf>
    <xf numFmtId="0" fontId="13" fillId="13" borderId="2" applyAlignment="1" pivotButton="0" quotePrefix="0" xfId="0">
      <alignment horizontal="general" vertical="bottom"/>
    </xf>
    <xf numFmtId="166" fontId="17" fillId="0" borderId="2" applyAlignment="1" pivotButton="0" quotePrefix="0" xfId="0">
      <alignment horizontal="center" vertical="center" wrapText="1"/>
    </xf>
    <xf numFmtId="0" fontId="0" fillId="0" borderId="2" applyAlignment="1" pivotButton="0" quotePrefix="0" xfId="0">
      <alignment horizontal="general" vertical="bottom"/>
    </xf>
    <xf numFmtId="166" fontId="17" fillId="0" borderId="3" applyAlignment="1" pivotButton="0" quotePrefix="0" xfId="0">
      <alignment horizontal="center" vertical="center" wrapText="1"/>
    </xf>
    <xf numFmtId="0" fontId="18" fillId="14" borderId="0" applyAlignment="1" pivotButton="0" quotePrefix="0" xfId="0">
      <alignment horizontal="general" vertical="bottom"/>
    </xf>
    <xf numFmtId="0" fontId="0" fillId="14"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21" fillId="5" borderId="0" applyAlignment="1" pivotButton="0" quotePrefix="0" xfId="0">
      <alignment horizontal="general" vertical="bottom"/>
    </xf>
    <xf numFmtId="164" fontId="21" fillId="5" borderId="0" applyAlignment="1" pivotButton="0" quotePrefix="0" xfId="0">
      <alignment horizontal="general" vertical="bottom"/>
    </xf>
    <xf numFmtId="170" fontId="21" fillId="5" borderId="0" applyAlignment="1" pivotButton="0" quotePrefix="0" xfId="0">
      <alignment horizontal="general" vertical="bottom"/>
    </xf>
    <xf numFmtId="170" fontId="0" fillId="0" borderId="0" applyAlignment="1" pivotButton="0" quotePrefix="0" xfId="0">
      <alignment horizontal="general" vertical="bottom"/>
    </xf>
    <xf numFmtId="0" fontId="17" fillId="12" borderId="2" applyAlignment="1" pivotButton="0" quotePrefix="0" xfId="0">
      <alignment horizontal="left" vertical="center" wrapText="1"/>
    </xf>
    <xf numFmtId="166" fontId="22" fillId="12" borderId="2" applyAlignment="1" pivotButton="0" quotePrefix="0" xfId="0">
      <alignment horizontal="center" vertical="center" wrapText="1"/>
    </xf>
    <xf numFmtId="0" fontId="16" fillId="12" borderId="2" applyAlignment="1" pivotButton="0" quotePrefix="0" xfId="0">
      <alignment horizontal="general" vertical="bottom"/>
    </xf>
    <xf numFmtId="0" fontId="0" fillId="0" borderId="6" pivotButton="0" quotePrefix="0" xfId="0"/>
    <xf numFmtId="0" fontId="0" fillId="0" borderId="7" pivotButton="0" quotePrefix="0" xfId="0"/>
    <xf numFmtId="166" fontId="22" fillId="0" borderId="2" applyAlignment="1" pivotButton="0" quotePrefix="0" xfId="0">
      <alignment horizontal="center" vertical="center" wrapText="1"/>
    </xf>
    <xf numFmtId="166" fontId="22" fillId="15" borderId="2" applyAlignment="1" pivotButton="0" quotePrefix="0" xfId="0">
      <alignment horizontal="center" vertical="center" wrapText="1"/>
    </xf>
    <xf numFmtId="166" fontId="23" fillId="16" borderId="2" applyAlignment="1" pivotButton="0" quotePrefix="0" xfId="0">
      <alignment horizontal="center" vertical="center" wrapText="1"/>
    </xf>
    <xf numFmtId="166" fontId="24" fillId="12" borderId="2" applyAlignment="1" pivotButton="0" quotePrefix="0" xfId="0">
      <alignment horizontal="center" vertical="center" wrapText="1"/>
    </xf>
    <xf numFmtId="166" fontId="24" fillId="0" borderId="2" applyAlignment="1" pivotButton="0" quotePrefix="0" xfId="0">
      <alignment horizontal="center" vertical="center" wrapText="1"/>
    </xf>
    <xf numFmtId="164" fontId="22" fillId="15" borderId="2" applyAlignment="1" pivotButton="0" quotePrefix="0" xfId="0">
      <alignment horizontal="center" vertical="center" wrapText="1"/>
    </xf>
    <xf numFmtId="164" fontId="23" fillId="16" borderId="2" applyAlignment="1" pivotButton="0" quotePrefix="0" xfId="0">
      <alignment horizontal="center" vertical="center" wrapText="1"/>
    </xf>
    <xf numFmtId="164" fontId="24" fillId="0" borderId="2" applyAlignment="1" pivotButton="0" quotePrefix="0" xfId="0">
      <alignment horizontal="center" vertical="center" wrapText="1"/>
    </xf>
    <xf numFmtId="0" fontId="17" fillId="4" borderId="2" applyAlignment="1" pivotButton="0" quotePrefix="0" xfId="0">
      <alignment horizontal="left" vertical="center" wrapText="1"/>
    </xf>
    <xf numFmtId="166" fontId="24" fillId="4" borderId="2" applyAlignment="1" pivotButton="0" quotePrefix="0" xfId="0">
      <alignment horizontal="center" vertical="center" wrapText="1"/>
    </xf>
    <xf numFmtId="0" fontId="17" fillId="7" borderId="2" applyAlignment="1" pivotButton="0" quotePrefix="0" xfId="0">
      <alignment horizontal="left" vertical="center" wrapText="1"/>
    </xf>
    <xf numFmtId="166" fontId="24" fillId="7" borderId="2" applyAlignment="1" pivotButton="0" quotePrefix="0" xfId="0">
      <alignment horizontal="center" vertical="center" wrapText="1"/>
    </xf>
    <xf numFmtId="0" fontId="25" fillId="0" borderId="3" applyAlignment="1" pivotButton="0" quotePrefix="0" xfId="0">
      <alignment horizontal="left" vertical="center" wrapText="1"/>
    </xf>
    <xf numFmtId="0" fontId="13" fillId="15" borderId="2" applyAlignment="1" pivotButton="0" quotePrefix="0" xfId="0">
      <alignment horizontal="general" vertical="bottom"/>
    </xf>
    <xf numFmtId="0" fontId="23" fillId="0" borderId="2" applyAlignment="1" pivotButton="0" quotePrefix="0" xfId="0">
      <alignment horizontal="left" vertical="center" wrapText="1"/>
    </xf>
    <xf numFmtId="166" fontId="23" fillId="0" borderId="2" applyAlignment="1" pivotButton="0" quotePrefix="0" xfId="0">
      <alignment horizontal="center" vertical="center" wrapText="1"/>
    </xf>
    <xf numFmtId="0" fontId="24" fillId="0" borderId="3" applyAlignment="1" pivotButton="0" quotePrefix="0" xfId="0">
      <alignment horizontal="left" vertical="center" wrapText="1"/>
    </xf>
    <xf numFmtId="0" fontId="17" fillId="0" borderId="3" applyAlignment="1" pivotButton="0" quotePrefix="0" xfId="0">
      <alignment horizontal="left" vertical="center" wrapText="1"/>
    </xf>
    <xf numFmtId="0" fontId="14" fillId="0" borderId="2" applyAlignment="1" pivotButton="0" quotePrefix="0" xfId="0">
      <alignment horizontal="left" vertical="top" wrapText="1"/>
    </xf>
    <xf numFmtId="0" fontId="16" fillId="0" borderId="2" applyAlignment="1" pivotButton="0" quotePrefix="0" xfId="0">
      <alignment horizontal="left" vertical="top" wrapText="1"/>
    </xf>
    <xf numFmtId="0" fontId="23" fillId="0" borderId="2" applyAlignment="1" pivotButton="0" quotePrefix="0" xfId="0">
      <alignment horizontal="center" vertical="center" wrapText="1"/>
    </xf>
    <xf numFmtId="0" fontId="17" fillId="0" borderId="3" applyAlignment="1" pivotButton="0" quotePrefix="0" xfId="0">
      <alignment horizontal="general" vertical="bottom"/>
    </xf>
    <xf numFmtId="0" fontId="0" fillId="0" borderId="3" applyAlignment="1" pivotButton="0" quotePrefix="0" xfId="0">
      <alignment horizontal="general" vertical="bottom"/>
    </xf>
    <xf numFmtId="0" fontId="23" fillId="0" borderId="3" applyAlignment="1" pivotButton="0" quotePrefix="0" xfId="0">
      <alignment horizontal="center" vertical="center" wrapText="1"/>
    </xf>
    <xf numFmtId="0" fontId="17" fillId="0" borderId="2" applyAlignment="1" pivotButton="0" quotePrefix="0" xfId="0">
      <alignment horizontal="center" vertical="center" wrapText="1"/>
    </xf>
    <xf numFmtId="166" fontId="17" fillId="12" borderId="2" applyAlignment="1" pivotButton="0" quotePrefix="0" xfId="0">
      <alignment horizontal="center" vertical="center" wrapText="1"/>
    </xf>
    <xf numFmtId="0" fontId="25" fillId="0" borderId="2" applyAlignment="1" pivotButton="0" quotePrefix="0" xfId="0">
      <alignment horizontal="left" vertical="center" wrapText="1"/>
    </xf>
    <xf numFmtId="166" fontId="25" fillId="0" borderId="3" applyAlignment="1" pivotButton="0" quotePrefix="0" xfId="0">
      <alignment horizontal="center" vertical="center" wrapText="1"/>
    </xf>
    <xf numFmtId="0" fontId="12" fillId="15" borderId="2" applyAlignment="1" pivotButton="0" quotePrefix="0" xfId="0">
      <alignment horizontal="center" vertical="center" wrapText="1"/>
    </xf>
    <xf numFmtId="0" fontId="12" fillId="16" borderId="2" applyAlignment="1" pivotButton="0" quotePrefix="0" xfId="0">
      <alignment horizontal="center" vertical="center" wrapText="1"/>
    </xf>
    <xf numFmtId="166" fontId="26" fillId="0" borderId="2" applyAlignment="1" pivotButton="0" quotePrefix="0" xfId="0">
      <alignment horizontal="center" vertical="center" wrapText="1"/>
    </xf>
    <xf numFmtId="168" fontId="26" fillId="15" borderId="2" applyAlignment="1" pivotButton="0" quotePrefix="0" xfId="0">
      <alignment horizontal="center" vertical="center" wrapText="1"/>
    </xf>
    <xf numFmtId="168" fontId="14" fillId="16" borderId="2" applyAlignment="1" pivotButton="0" quotePrefix="0" xfId="0">
      <alignment horizontal="center" vertical="center" wrapText="1"/>
    </xf>
    <xf numFmtId="164" fontId="23" fillId="0" borderId="2" applyAlignment="1" pivotButton="0" quotePrefix="0" xfId="0">
      <alignment horizontal="center" vertical="center" wrapText="1"/>
    </xf>
    <xf numFmtId="168" fontId="27" fillId="0" borderId="2" applyAlignment="1" pivotButton="0" quotePrefix="0" xfId="0">
      <alignment horizontal="center" vertical="center" wrapText="1"/>
    </xf>
    <xf numFmtId="168" fontId="17" fillId="0" borderId="3" applyAlignment="1" pivotButton="0" quotePrefix="0" xfId="0">
      <alignment horizontal="center" vertical="center" wrapText="1"/>
    </xf>
    <xf numFmtId="0" fontId="24" fillId="0" borderId="0" applyAlignment="1" pivotButton="0" quotePrefix="0" xfId="0">
      <alignment horizontal="general" vertical="bottom"/>
    </xf>
    <xf numFmtId="0" fontId="23" fillId="0" borderId="0" applyAlignment="1" pivotButton="0" quotePrefix="0" xfId="0">
      <alignment horizontal="general" vertical="bottom"/>
    </xf>
    <xf numFmtId="0" fontId="24" fillId="0" borderId="2" applyAlignment="1" pivotButton="0" quotePrefix="0" xfId="0">
      <alignment horizontal="center" vertical="center" wrapText="1"/>
    </xf>
    <xf numFmtId="0" fontId="14" fillId="0" borderId="0" applyAlignment="1" pivotButton="0" quotePrefix="0" xfId="0">
      <alignment horizontal="general" vertical="bottom"/>
    </xf>
    <xf numFmtId="0" fontId="17" fillId="0" borderId="0" applyAlignment="1" pivotButton="0" quotePrefix="0" xfId="0">
      <alignment horizontal="general" vertical="bottom"/>
    </xf>
    <xf numFmtId="3" fontId="14" fillId="0" borderId="2" applyAlignment="1" pivotButton="0" quotePrefix="0" xfId="0">
      <alignment horizontal="center" vertical="center" wrapText="1"/>
    </xf>
    <xf numFmtId="1" fontId="14" fillId="0" borderId="2" applyAlignment="1" pivotButton="0" quotePrefix="0" xfId="0">
      <alignment horizontal="center" vertical="center" wrapText="1"/>
    </xf>
    <xf numFmtId="164" fontId="14" fillId="0" borderId="0" applyAlignment="1" pivotButton="0" quotePrefix="0" xfId="0">
      <alignment horizontal="general" vertical="bottom"/>
    </xf>
    <xf numFmtId="3" fontId="14" fillId="0" borderId="0" applyAlignment="1" pivotButton="0" quotePrefix="0" xfId="0">
      <alignment horizontal="general" vertical="bottom"/>
    </xf>
    <xf numFmtId="0" fontId="17" fillId="12" borderId="2" applyAlignment="1" pivotButton="0" quotePrefix="0" xfId="0">
      <alignment horizontal="center" vertical="center" wrapText="1"/>
    </xf>
    <xf numFmtId="167" fontId="14" fillId="12" borderId="2" applyAlignment="1" pivotButton="0" quotePrefix="0" xfId="0">
      <alignment horizontal="center" vertical="center" wrapText="1"/>
    </xf>
    <xf numFmtId="2" fontId="14" fillId="12" borderId="2" applyAlignment="1" pivotButton="0" quotePrefix="0" xfId="0">
      <alignment horizontal="center" vertical="center" wrapText="1"/>
    </xf>
    <xf numFmtId="0" fontId="14" fillId="12" borderId="2" applyAlignment="1" pivotButton="0" quotePrefix="0" xfId="0">
      <alignment horizontal="center" vertical="center" wrapText="1"/>
    </xf>
    <xf numFmtId="167" fontId="14" fillId="0" borderId="2" applyAlignment="1" pivotButton="0" quotePrefix="0" xfId="0">
      <alignment horizontal="center" vertical="center" wrapText="1"/>
    </xf>
    <xf numFmtId="2" fontId="14" fillId="0" borderId="2" applyAlignment="1" pivotButton="0" quotePrefix="0" xfId="0">
      <alignment horizontal="center" vertical="center" wrapText="1"/>
    </xf>
    <xf numFmtId="166" fontId="14" fillId="12" borderId="2" applyAlignment="1" pivotButton="0" quotePrefix="0" xfId="0">
      <alignment horizontal="center" vertical="center" wrapText="1"/>
    </xf>
    <xf numFmtId="166" fontId="14"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28" fillId="0" borderId="0" applyAlignment="1" pivotButton="0" quotePrefix="0" xfId="0">
      <alignment horizontal="general" vertical="bottom"/>
    </xf>
    <xf numFmtId="0" fontId="0" fillId="13" borderId="2" applyAlignment="1" pivotButton="0" quotePrefix="0" xfId="0">
      <alignment horizontal="general" vertical="bottom"/>
    </xf>
    <xf numFmtId="0" fontId="29" fillId="0" borderId="2" applyAlignment="1" pivotButton="0" quotePrefix="0" xfId="0">
      <alignment horizontal="left" vertical="center" wrapText="1"/>
    </xf>
    <xf numFmtId="166" fontId="29" fillId="0" borderId="2" applyAlignment="1" pivotButton="0" quotePrefix="0" xfId="0">
      <alignment horizontal="center" vertical="center" wrapText="1"/>
    </xf>
    <xf numFmtId="0" fontId="25" fillId="0" borderId="3" applyAlignment="1" pivotButton="0" quotePrefix="0" xfId="0">
      <alignment horizontal="general" vertical="bottom"/>
    </xf>
    <xf numFmtId="0" fontId="26" fillId="12" borderId="2" applyAlignment="1" pivotButton="0" quotePrefix="0" xfId="0">
      <alignment horizontal="center" vertical="center" wrapText="1"/>
    </xf>
    <xf numFmtId="0" fontId="26" fillId="0" borderId="2" applyAlignment="1" pivotButton="0" quotePrefix="0" xfId="0">
      <alignment horizontal="center" vertical="center" wrapText="1"/>
    </xf>
    <xf numFmtId="166" fontId="26" fillId="12" borderId="2" applyAlignment="1" pivotButton="0" quotePrefix="0" xfId="0">
      <alignment horizontal="center" vertical="center" wrapText="1"/>
    </xf>
    <xf numFmtId="0" fontId="14" fillId="12" borderId="2" applyAlignment="1" pivotButton="0" quotePrefix="0" xfId="0">
      <alignment horizontal="left" vertical="top" wrapText="1"/>
    </xf>
    <xf numFmtId="0" fontId="26" fillId="12" borderId="2" applyAlignment="1" pivotButton="0" quotePrefix="0" xfId="0">
      <alignment horizontal="left" vertical="top" wrapText="1"/>
    </xf>
    <xf numFmtId="0" fontId="16" fillId="12" borderId="2" applyAlignment="1" pivotButton="0" quotePrefix="0" xfId="0">
      <alignment horizontal="left" vertical="top" wrapText="1"/>
    </xf>
    <xf numFmtId="0" fontId="26" fillId="0" borderId="2" applyAlignment="1" pivotButton="0" quotePrefix="0" xfId="0">
      <alignment horizontal="left" vertical="top" wrapText="1"/>
    </xf>
    <xf numFmtId="0" fontId="14" fillId="0" borderId="0" applyAlignment="1" pivotButton="0" quotePrefix="0" xfId="0">
      <alignment horizontal="left" vertical="top" wrapText="1"/>
    </xf>
    <xf numFmtId="0" fontId="15" fillId="0" borderId="2" applyAlignment="1" pivotButton="0" quotePrefix="0" xfId="0">
      <alignment horizontal="left" vertical="center" wrapText="1"/>
    </xf>
    <xf numFmtId="0" fontId="15" fillId="12" borderId="2" applyAlignment="1" pivotButton="0" quotePrefix="0" xfId="0">
      <alignment horizontal="left" vertical="center" wrapText="1"/>
    </xf>
    <xf numFmtId="0" fontId="35" fillId="0" borderId="0" pivotButton="0" quotePrefix="0" xfId="0"/>
    <xf numFmtId="0" fontId="31" fillId="0" borderId="0" applyAlignment="1" pivotButton="0" quotePrefix="0" xfId="0">
      <alignment vertical="top" wrapText="1"/>
    </xf>
    <xf numFmtId="0" fontId="31" fillId="0" borderId="0" pivotButton="0" quotePrefix="0" xfId="0"/>
    <xf numFmtId="0" fontId="30" fillId="17" borderId="0" pivotButton="0" quotePrefix="0" xfId="0"/>
    <xf numFmtId="0" fontId="32" fillId="18" borderId="0" pivotButton="0" quotePrefix="0" xfId="0"/>
    <xf numFmtId="0" fontId="34" fillId="0" borderId="0" pivotButton="0" quotePrefix="0" xfId="0"/>
    <xf numFmtId="0" fontId="32" fillId="19" borderId="0" pivotButton="0" quotePrefix="0" xfId="0"/>
    <xf numFmtId="0" fontId="30" fillId="17" borderId="0" applyAlignment="1" pivotButton="0" quotePrefix="0" xfId="0">
      <alignment horizontal="left" vertical="center"/>
    </xf>
    <xf numFmtId="0" fontId="33" fillId="0" borderId="0" pivotButton="0" quotePrefix="0" xfId="0"/>
    <xf numFmtId="171" fontId="31" fillId="0" borderId="0" pivotButton="0" quotePrefix="0" xfId="0"/>
    <xf numFmtId="164" fontId="31" fillId="0" borderId="0" pivotButton="0" quotePrefix="0" xfId="0"/>
    <xf numFmtId="0" fontId="33" fillId="19" borderId="0" pivotButton="0" quotePrefix="0" xfId="0"/>
    <xf numFmtId="171" fontId="33" fillId="19" borderId="0" pivotButton="0" quotePrefix="0" xfId="0"/>
    <xf numFmtId="164" fontId="33" fillId="19" borderId="0" pivotButton="0" quotePrefix="0" xfId="0"/>
    <xf numFmtId="168" fontId="26" fillId="0" borderId="2" applyAlignment="1" pivotButton="0" quotePrefix="0" xfId="0">
      <alignment horizontal="center" vertical="center" wrapText="1"/>
    </xf>
    <xf numFmtId="0" fontId="14" fillId="0" borderId="0" applyAlignment="1" pivotButton="0" quotePrefix="0" xfId="0">
      <alignment horizontal="left" vertical="center" wrapText="1"/>
    </xf>
    <xf numFmtId="166" fontId="26" fillId="0" borderId="0" applyAlignment="1" pivotButton="0" quotePrefix="0" xfId="0">
      <alignment horizontal="center" vertical="center" wrapText="1"/>
    </xf>
    <xf numFmtId="168" fontId="27" fillId="0" borderId="0" applyAlignment="1" pivotButton="0" quotePrefix="0" xfId="0">
      <alignment horizontal="center" vertical="center" wrapText="1"/>
    </xf>
    <xf numFmtId="168" fontId="26" fillId="0" borderId="0" applyAlignment="1" pivotButton="0" quotePrefix="0" xfId="0">
      <alignment horizontal="center" vertical="center" wrapText="1"/>
    </xf>
    <xf numFmtId="168" fontId="14" fillId="0" borderId="0" applyAlignment="1" pivotButton="0" quotePrefix="0" xfId="0">
      <alignment horizontal="center" vertical="center" wrapText="1"/>
    </xf>
    <xf numFmtId="164" fontId="23" fillId="0" borderId="0" applyAlignment="1" pivotButton="0" quotePrefix="0" xfId="0">
      <alignment horizontal="center" vertical="center" wrapText="1"/>
    </xf>
    <xf numFmtId="0" fontId="39" fillId="0" borderId="3" applyAlignment="1" pivotButton="0" quotePrefix="0" xfId="0">
      <alignment horizontal="general" vertical="bottom"/>
    </xf>
    <xf numFmtId="0" fontId="40" fillId="0" borderId="0" applyAlignment="1" pivotButton="0" quotePrefix="0" xfId="0">
      <alignment horizontal="general" vertical="bottom"/>
    </xf>
    <xf numFmtId="0" fontId="36" fillId="17" borderId="8" applyAlignment="1" pivotButton="0" quotePrefix="0" xfId="0">
      <alignment horizontal="left" vertical="center" wrapText="1"/>
    </xf>
    <xf numFmtId="0" fontId="31" fillId="0" borderId="8" applyAlignment="1" pivotButton="0" quotePrefix="0" xfId="0">
      <alignment vertical="top" wrapText="1"/>
    </xf>
    <xf numFmtId="0" fontId="37" fillId="0" borderId="0" applyAlignment="1" pivotButton="0" quotePrefix="0" xfId="0">
      <alignment horizontal="left"/>
    </xf>
    <xf numFmtId="0" fontId="38" fillId="0" borderId="0" applyAlignment="1" pivotButton="0" quotePrefix="0" xfId="0">
      <alignment vertical="top" wrapText="1"/>
    </xf>
    <xf numFmtId="0" fontId="41" fillId="0" borderId="0" pivotButton="0" quotePrefix="0" xfId="0"/>
    <xf numFmtId="0" fontId="42" fillId="0" borderId="0" pivotButton="0" quotePrefix="0" xfId="0"/>
    <xf numFmtId="0" fontId="41" fillId="19" borderId="0" pivotButton="0" quotePrefix="0" xfId="0"/>
    <xf numFmtId="171" fontId="41" fillId="19" borderId="0" pivotButton="0" quotePrefix="0" xfId="0"/>
    <xf numFmtId="0" fontId="44" fillId="0" borderId="9" applyAlignment="1" pivotButton="0" quotePrefix="0" xfId="0">
      <alignment horizontal="center" vertical="center"/>
    </xf>
    <xf numFmtId="0" fontId="43" fillId="0" borderId="9" pivotButton="0" quotePrefix="0" xfId="0"/>
    <xf numFmtId="0" fontId="46" fillId="0" borderId="9" applyAlignment="1" pivotButton="0" quotePrefix="0" xfId="0">
      <alignment horizontal="center" vertical="center"/>
    </xf>
    <xf numFmtId="0" fontId="45" fillId="0" borderId="9" applyAlignment="1" pivotButton="0" quotePrefix="0" xfId="0">
      <alignment horizontal="center" vertical="center"/>
    </xf>
    <xf numFmtId="0" fontId="46" fillId="20" borderId="9" applyAlignment="1" pivotButton="0" quotePrefix="0" xfId="0">
      <alignment horizontal="general" vertical="bottom"/>
    </xf>
    <xf numFmtId="0" fontId="47" fillId="0" borderId="9" applyAlignment="1" pivotButton="0" quotePrefix="0" xfId="0">
      <alignment horizontal="left" vertical="top" wrapText="1"/>
    </xf>
    <xf numFmtId="0" fontId="43" fillId="0" borderId="9" applyAlignment="1" pivotButton="0" quotePrefix="0" xfId="0">
      <alignment horizontal="left" vertical="top" wrapText="1"/>
    </xf>
    <xf numFmtId="0" fontId="46" fillId="21" borderId="9" applyAlignment="1" pivotButton="0" quotePrefix="0" xfId="0">
      <alignment horizontal="left" vertical="top" wrapText="1"/>
    </xf>
    <xf numFmtId="0" fontId="47" fillId="0" borderId="9" pivotButton="0" quotePrefix="0" xfId="0"/>
    <xf numFmtId="0" fontId="47" fillId="0" borderId="9" applyAlignment="1" pivotButton="0" quotePrefix="0" xfId="0">
      <alignment horizontal="general" vertical="bottom"/>
    </xf>
    <xf numFmtId="0" fontId="46" fillId="20" borderId="9" pivotButton="0" quotePrefix="0" xfId="0"/>
    <xf numFmtId="0" fontId="47" fillId="0" borderId="9" applyAlignment="1" pivotButton="0" quotePrefix="0" xfId="0">
      <alignment horizontal="general" vertical="center"/>
    </xf>
    <xf numFmtId="0" fontId="46" fillId="20" borderId="9" applyAlignment="1" pivotButton="0" quotePrefix="0" xfId="0">
      <alignment horizontal="left" vertical="top" wrapText="1"/>
    </xf>
    <xf numFmtId="0" fontId="46" fillId="21" borderId="9" applyAlignment="1" pivotButton="0" quotePrefix="0" xfId="0">
      <alignment horizontal="general" vertical="center"/>
    </xf>
    <xf numFmtId="0" fontId="43" fillId="0" borderId="9" applyAlignment="1" pivotButton="0" quotePrefix="0" xfId="0">
      <alignment horizontal="general" vertical="bottom"/>
    </xf>
    <xf numFmtId="0" fontId="43" fillId="0" borderId="9" applyAlignment="1" pivotButton="0" quotePrefix="0" xfId="0">
      <alignment vertical="top" wrapText="1"/>
    </xf>
    <xf numFmtId="0" fontId="46" fillId="21" borderId="9" applyAlignment="1" pivotButton="0" quotePrefix="0" xfId="0">
      <alignment vertical="top" wrapText="1"/>
    </xf>
    <xf numFmtId="0" fontId="47" fillId="0" borderId="9" applyAlignment="1" pivotButton="0" quotePrefix="0" xfId="0">
      <alignment vertical="top" wrapText="1"/>
    </xf>
    <xf numFmtId="0" fontId="47" fillId="0" borderId="0" pivotButton="0" quotePrefix="0" xfId="0"/>
    <xf numFmtId="0" fontId="46" fillId="20" borderId="2" applyAlignment="1" pivotButton="0" quotePrefix="0" xfId="0">
      <alignment horizontal="general" vertical="bottom"/>
    </xf>
    <xf numFmtId="0" fontId="46" fillId="21" borderId="2" applyAlignment="1" pivotButton="0" quotePrefix="0" xfId="0">
      <alignment horizontal="general" vertical="bottom"/>
    </xf>
    <xf numFmtId="0" fontId="48" fillId="23" borderId="10" applyAlignment="1" pivotButton="0" quotePrefix="0" xfId="0">
      <alignment horizontal="left" vertical="center" wrapText="1"/>
    </xf>
    <xf numFmtId="0" fontId="48" fillId="23" borderId="10" applyAlignment="1" pivotButton="0" quotePrefix="0" xfId="0">
      <alignment horizontal="center" vertical="center" wrapText="1"/>
    </xf>
    <xf numFmtId="166" fontId="48" fillId="23" borderId="10" applyAlignment="1" pivotButton="0" quotePrefix="0" xfId="0">
      <alignment horizontal="center" vertical="center" wrapText="1"/>
    </xf>
    <xf numFmtId="0" fontId="46" fillId="22" borderId="2" applyAlignment="1" pivotButton="0" quotePrefix="0" xfId="0">
      <alignment horizontal="general" vertical="bottom"/>
    </xf>
    <xf numFmtId="0" fontId="46" fillId="20" borderId="0" applyAlignment="1" pivotButton="0" quotePrefix="0" xfId="0">
      <alignment horizontal="general" vertical="bottom"/>
    </xf>
    <xf numFmtId="0" fontId="48" fillId="23" borderId="10" applyAlignment="1" pivotButton="0" quotePrefix="0" xfId="0">
      <alignment horizontal="general" vertical="bottom"/>
    </xf>
    <xf numFmtId="0" fontId="48" fillId="23" borderId="10" pivotButton="0" quotePrefix="0" xfId="0"/>
    <xf numFmtId="170" fontId="48" fillId="23" borderId="10" applyAlignment="1" pivotButton="0" quotePrefix="0" xfId="0">
      <alignment horizontal="general" vertical="bottom"/>
    </xf>
    <xf numFmtId="164" fontId="48" fillId="23" borderId="10" applyAlignment="1" pivotButton="0" quotePrefix="0" xfId="0">
      <alignment horizontal="center" vertical="center" wrapText="1"/>
    </xf>
    <xf numFmtId="0" fontId="48" fillId="23" borderId="2" applyAlignment="1" pivotButton="0" quotePrefix="0" xfId="0">
      <alignment horizontal="left" vertical="center" wrapText="1"/>
    </xf>
    <xf numFmtId="0" fontId="47" fillId="23" borderId="2" applyAlignment="1" pivotButton="0" quotePrefix="0" xfId="0">
      <alignment horizontal="center" vertical="center" wrapText="1"/>
    </xf>
    <xf numFmtId="0" fontId="47" fillId="23" borderId="2" applyAlignment="1" pivotButton="0" quotePrefix="0" xfId="0">
      <alignment horizontal="left" vertical="center" wrapText="1"/>
    </xf>
    <xf numFmtId="0" fontId="48" fillId="0" borderId="2" applyAlignment="1" pivotButton="0" quotePrefix="0" xfId="0">
      <alignment horizontal="left" vertical="center" wrapText="1"/>
    </xf>
    <xf numFmtId="0" fontId="47" fillId="0" borderId="2" applyAlignment="1" pivotButton="0" quotePrefix="0" xfId="0">
      <alignment horizontal="center" vertical="center" wrapText="1"/>
    </xf>
    <xf numFmtId="0" fontId="47" fillId="0" borderId="2" applyAlignment="1" pivotButton="0" quotePrefix="0" xfId="0">
      <alignment horizontal="left" vertical="center" wrapText="1"/>
    </xf>
    <xf numFmtId="166" fontId="47" fillId="0" borderId="2" applyAlignment="1" pivotButton="0" quotePrefix="0" xfId="0">
      <alignment horizontal="center" vertical="center" wrapText="1"/>
    </xf>
    <xf numFmtId="166" fontId="47" fillId="23" borderId="2" applyAlignment="1" pivotButton="0" quotePrefix="0" xfId="0">
      <alignment horizontal="center" vertical="center" wrapText="1"/>
    </xf>
    <xf numFmtId="0" fontId="44" fillId="0" borderId="0" applyAlignment="1" pivotButton="0" quotePrefix="0" xfId="0">
      <alignment horizontal="general" vertical="center"/>
    </xf>
    <xf numFmtId="0" fontId="46" fillId="21" borderId="0" applyAlignment="1" pivotButton="0" quotePrefix="0" xfId="0">
      <alignment horizontal="general" vertical="bottom"/>
    </xf>
    <xf numFmtId="0" fontId="47" fillId="23" borderId="0" applyAlignment="1" pivotButton="0" quotePrefix="0" xfId="0">
      <alignment horizontal="general" vertical="bottom"/>
    </xf>
    <xf numFmtId="0" fontId="47" fillId="0" borderId="0" applyAlignment="1" pivotButton="0" quotePrefix="0" xfId="0">
      <alignment horizontal="general" vertical="bottom"/>
    </xf>
    <xf numFmtId="0" fontId="46" fillId="20" borderId="0" pivotButton="0" quotePrefix="0" xfId="0"/>
    <xf numFmtId="0" fontId="49" fillId="24" borderId="0" pivotButton="0" quotePrefix="0" xfId="0"/>
    <xf numFmtId="0" fontId="47" fillId="23" borderId="0" pivotButton="0" quotePrefix="0" xfId="0"/>
    <xf numFmtId="0" fontId="46" fillId="21" borderId="0" pivotButton="0" quotePrefix="0" xfId="0"/>
    <xf numFmtId="0" fontId="50" fillId="23" borderId="0" applyAlignment="1" pivotButton="0" quotePrefix="0" xfId="0">
      <alignment horizontal="general" vertical="bottom"/>
    </xf>
    <xf numFmtId="0" fontId="50" fillId="0" borderId="0" applyAlignment="1" pivotButton="0" quotePrefix="0" xfId="0">
      <alignment horizontal="general" vertical="bottom"/>
    </xf>
    <xf numFmtId="0" fontId="44" fillId="0" borderId="0" applyAlignment="1" pivotButton="0" quotePrefix="0" xfId="0">
      <alignment horizontal="left" vertical="center"/>
    </xf>
    <xf numFmtId="0" fontId="45" fillId="0" borderId="0" pivotButton="0" quotePrefix="0" xfId="0"/>
    <xf numFmtId="171" fontId="48" fillId="23" borderId="10" pivotButton="0" quotePrefix="0" xfId="0"/>
    <xf numFmtId="164" fontId="48" fillId="23" borderId="10" pivotButton="0" quotePrefix="0" xfId="0"/>
    <xf numFmtId="0" fontId="44" fillId="0" borderId="0" pivotButton="0" quotePrefix="0" xfId="0"/>
    <xf numFmtId="0" fontId="49" fillId="24" borderId="8" applyAlignment="1" pivotButton="0" quotePrefix="0" xfId="0">
      <alignment horizontal="left" vertical="center" wrapText="1"/>
    </xf>
    <xf numFmtId="0" fontId="46" fillId="22"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595959"/>
      <rgbColor rgb="FF8FAACC"/>
      <rgbColor rgb="FF993366"/>
      <rgbColor rgb="FFFFF2CC"/>
      <rgbColor rgb="FFDAE8FC"/>
      <rgbColor rgb="FF660066"/>
      <rgbColor rgb="FFFF8080"/>
      <rgbColor rgb="FF0066CC"/>
      <rgbColor rgb="FFBDD7EE"/>
      <rgbColor rgb="FF000080"/>
      <rgbColor rgb="FFFF00FF"/>
      <rgbColor rgb="FFF2F2F2"/>
      <rgbColor rgb="FF00FFFF"/>
      <rgbColor rgb="FF800080"/>
      <rgbColor rgb="FF800000"/>
      <rgbColor rgb="FF008080"/>
      <rgbColor rgb="FF0000FF"/>
      <rgbColor rgb="FF00CCFF"/>
      <rgbColor rgb="FFE2EFDA"/>
      <rgbColor rgb="FFD5F5E3"/>
      <rgbColor rgb="FFFFE6CC"/>
      <rgbColor rgb="FFA8C4E0"/>
      <rgbColor rgb="FFD6E4F0"/>
      <rgbColor rgb="FFE8D5F5"/>
      <rgbColor rgb="FFFCE4D6"/>
      <rgbColor rgb="FF2E75B6"/>
      <rgbColor rgb="FF33CCCC"/>
      <rgbColor rgb="FFC5E0B4"/>
      <rgbColor rgb="FFFFC000"/>
      <rgbColor rgb="FFFF9900"/>
      <rgbColor rgb="FFED7D31"/>
      <rgbColor rgb="FF666666"/>
      <rgbColor rgb="FF70AD47"/>
      <rgbColor rgb="FF1F3864"/>
      <rgbColor rgb="FF339966"/>
      <rgbColor rgb="FF003300"/>
      <rgbColor rgb="FF555555"/>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C9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D16" activeCellId="0" sqref="D16"/>
    </sheetView>
  </sheetViews>
  <sheetFormatPr baseColWidth="8" defaultColWidth="8.66796875" defaultRowHeight="15" customHeight="0" zeroHeight="0" outlineLevelRow="0"/>
  <cols>
    <col width="30" customWidth="1" style="131" min="1" max="1"/>
    <col width="130" customWidth="1" style="131" min="2" max="2"/>
    <col width="30" customWidth="1" style="131" min="3" max="3"/>
    <col width="137.83" customWidth="1" style="132" min="4" max="4"/>
    <col width="8.67" customWidth="1" style="132" min="5" max="21"/>
  </cols>
  <sheetData>
    <row r="1" ht="33.75" customHeight="1" s="133">
      <c r="A1" s="295" t="inlineStr">
        <is>
          <t>4ORM FINANCE</t>
        </is>
      </c>
      <c r="B1" s="296" t="n"/>
      <c r="C1" s="296" t="n"/>
    </row>
    <row r="2" ht="39.75" customHeight="1" s="133">
      <c r="A2" s="297" t="inlineStr">
        <is>
          <t>Institutional Settlement Layer | 5-Year Financial Escalation Model</t>
        </is>
      </c>
      <c r="B2" s="296" t="n"/>
      <c r="C2" s="296" t="n"/>
    </row>
    <row r="3" ht="39.75" customHeight="1" s="133">
      <c r="A3" s="298" t="inlineStr">
        <is>
          <t>KCS Capital | July 2026 | All Figures in Canadian Dollars (CAD)</t>
        </is>
      </c>
      <c r="B3" s="296" t="n"/>
      <c r="C3" s="296" t="n"/>
    </row>
    <row r="4">
      <c r="A4" s="296" t="n"/>
      <c r="B4" s="296" t="n"/>
      <c r="C4" s="296" t="n"/>
    </row>
    <row r="5" ht="15" customHeight="1" s="133">
      <c r="A5" s="296" t="n"/>
      <c r="B5" s="299" t="inlineStr">
        <is>
          <t>ABOUT THIS MODEL</t>
        </is>
      </c>
      <c r="C5" s="296" t="n"/>
    </row>
    <row r="6" ht="33.75" customHeight="1" s="133">
      <c r="A6" s="296" t="n"/>
      <c r="B6" s="300" t="inlineStr">
        <is>
          <t>This workbook models the 5-year financial trajectory for 4ORM Finance, Canada's institutional settlement layer for tokenized real-world assets.</t>
        </is>
      </c>
      <c r="C6" s="296" t="n"/>
    </row>
    <row r="7" ht="31.5" customHeight="1" s="133">
      <c r="A7" s="296" t="n"/>
      <c r="B7" s="300" t="inlineStr">
        <is>
          <t>The platform is being built to serve targeted Alberta and BC financial institutions. Modeled counterparties include ATB Financial, Bow Valley Credit Union, Servus Credit Union, and Vancity Credit Union as illustrative examples of the institution profile 4orm is designed to serve. No partnerships are yet in place; two Memoranda of Understanding are targeted during the Phase 1 pre-seed period.</t>
        </is>
      </c>
      <c r="C7" s="296" t="n"/>
    </row>
    <row r="8" ht="24" customHeight="1" s="133">
      <c r="A8" s="296" t="n"/>
      <c r="B8" s="300" t="inlineStr">
        <is>
          <t>Revenue model validated against ATB Financial FY2025 Annual Report ($43.3B deposits, $37.2B AUA, $29.1B lending).</t>
        </is>
      </c>
      <c r="C8" s="296" t="n"/>
    </row>
    <row r="9" ht="24" customHeight="1" s="133">
      <c r="A9" s="296" t="n"/>
      <c r="B9" s="300" t="inlineStr">
        <is>
          <t>Six revenue streams + (Reserved 6th Stream). Modeled ATB revenue in 2028 (post-onboarding) approximately $5.2M (H1 at 50% ramp); approximately $7M at full modeled capacity.</t>
        </is>
      </c>
      <c r="C9" s="296" t="n"/>
    </row>
    <row r="10" ht="31.5" customHeight="1" s="133">
      <c r="A10" s="296" t="n"/>
      <c r="B10" s="300" t="inlineStr">
        <is>
          <t>V10 DATA ROOM EDITION: Semi-annual periods (H1/H2). ALL calculations are Excel formulas. SPEER toggle wired at Control Panel B22.</t>
        </is>
      </c>
      <c r="C10" s="296" t="n"/>
    </row>
    <row r="11" ht="33" customHeight="1" s="133">
      <c r="A11" s="296" t="n"/>
      <c r="B11" s="300" t="inlineStr">
        <is>
          <t>ATB + BVCU modeled to start 2028, Servus + Vancity modeled to start 2029. Change Control Panel inputs to stress test scenarios.</t>
        </is>
      </c>
      <c r="C11" s="296" t="n"/>
    </row>
    <row r="12" ht="24" customHeight="1" s="133">
      <c r="A12" s="296" t="n"/>
      <c r="B12" s="301" t="n"/>
      <c r="C12" s="296" t="n"/>
    </row>
    <row r="13" ht="24" customHeight="1" s="133">
      <c r="A13" s="296" t="n"/>
      <c r="B13" s="302" t="inlineStr">
        <is>
          <t>V10 CHANGES FROM V9</t>
        </is>
      </c>
      <c r="C13" s="296" t="n"/>
    </row>
    <row r="14" ht="24" customHeight="1" s="133">
      <c r="A14" s="296" t="n"/>
      <c r="B14" s="303" t="inlineStr">
        <is>
          <t>SPEER Engineering toggle added (Control Panel B22): when ON, SPEER contracted phases 1-3 are active ($317,304 CAD contract) and internal build lines suppressed to avoid double-counting</t>
        </is>
      </c>
      <c r="C14" s="296" t="n"/>
    </row>
    <row r="15" ht="24" customHeight="1" s="133">
      <c r="A15" s="296" t="n"/>
      <c r="B15" s="304" t="inlineStr">
        <is>
          <t>SPEER payment schedule updated: deposit shifts to September 1, 2026 (aligning with pre-seed close)</t>
        </is>
      </c>
      <c r="C15" s="296" t="n"/>
    </row>
    <row r="16" ht="24" customHeight="1" s="133">
      <c r="A16" s="296" t="n"/>
      <c r="B16" s="300" t="inlineStr">
        <is>
          <t>Team rates updated: Chad $8K/mo, Kevin $4K/mo (CMO), CTO $15K/mo (Phase 1 hire), Fractional CFO $6K/mo, Bruce $6K/mo, Dean $5K/mo</t>
        </is>
      </c>
      <c r="C16" s="296" t="n"/>
    </row>
    <row r="17" ht="24" customHeight="1" s="133">
      <c r="A17" s="296" t="n"/>
      <c r="B17" s="300" t="inlineStr">
        <is>
          <t>Zed Head Architect, Smart Contract Dev, Backend Dev all full-time from H2 2026 (partial-period ramp)</t>
        </is>
      </c>
      <c r="C17" s="296" t="n"/>
    </row>
    <row r="18" ht="30" customHeight="1" s="133">
      <c r="A18" s="296" t="n"/>
      <c r="B18" s="300" t="inlineStr">
        <is>
          <t>Chain abstraction layer added ($40K H2 2026 internal DevEx): preserves migration path to 4orm Native Chain in Phase 4</t>
        </is>
      </c>
      <c r="C18" s="296" t="n"/>
    </row>
    <row r="19" ht="30" customHeight="1" s="133">
      <c r="A19" s="296" t="n"/>
      <c r="B19" s="300" t="inlineStr">
        <is>
          <t>Patent provisional filings added ($15K H2 2026 internal DevEx): 2-3 KYC and identity concept filings via Smart &amp; Biggar or Bereskin &amp; Parr</t>
        </is>
      </c>
      <c r="C19" s="296" t="n"/>
    </row>
    <row r="20" ht="33" customHeight="1" s="133">
      <c r="A20" s="296" t="n"/>
      <c r="B20" s="300" t="inlineStr">
        <is>
          <t>Alberta Sandbox admission prep added ($50K H2 2026 legal spend)</t>
        </is>
      </c>
      <c r="C20" s="296" t="n"/>
    </row>
    <row r="21" ht="30" customHeight="1" s="133">
      <c r="A21" s="296" t="n"/>
      <c r="B21" s="300" t="inlineStr">
        <is>
          <t>E-Transfer vertical removed entirely (revenue stream dropped from model)</t>
        </is>
      </c>
      <c r="C21" s="296" t="n"/>
    </row>
    <row r="22" ht="24" customHeight="1" s="133">
      <c r="A22" s="296" t="n"/>
      <c r="B22" s="300" t="inlineStr">
        <is>
          <t>Product positioning corrected: 4orm is an institutional settlement layer for tokenized real-world assets, not an exchange</t>
        </is>
      </c>
      <c r="C22" s="296" t="n"/>
    </row>
    <row r="23" ht="24" customHeight="1" s="133">
      <c r="A23" s="296" t="n"/>
      <c r="B23" s="300" t="inlineStr">
        <is>
          <t>Bank partnership language corrected: no existing partnerships; two MOUs targeted in Phase 1</t>
        </is>
      </c>
      <c r="C23" s="296" t="n"/>
    </row>
    <row r="24" ht="24" customHeight="1" s="133">
      <c r="A24" s="296" t="n"/>
      <c r="B24" s="300" t="inlineStr">
        <is>
          <t>Formatting cascaded across all tabs for consistency</t>
        </is>
      </c>
      <c r="C24" s="296" t="n"/>
    </row>
    <row r="25" ht="24" customHeight="1" s="133">
      <c r="A25" s="296" t="n"/>
      <c r="B25" s="301" t="n"/>
      <c r="C25" s="296" t="n"/>
    </row>
    <row r="26" ht="24" customHeight="1" s="133">
      <c r="A26" s="296" t="n"/>
      <c r="B26" s="305" t="inlineStr">
        <is>
          <t>SHEET GUIDE</t>
        </is>
      </c>
      <c r="C26" s="296" t="n"/>
    </row>
    <row r="27" ht="37.5" customHeight="1" s="133">
      <c r="A27" s="296" t="n"/>
      <c r="B27" s="306" t="inlineStr">
        <is>
          <t>Summary High-level snapshot: P&amp;L, key metrics, revenue by FI, the platform Build vs Traditional Build comparison</t>
        </is>
      </c>
      <c r="C27" s="296" t="n"/>
    </row>
    <row r="28" ht="33" customHeight="1" s="133">
      <c r="A28" s="296" t="n"/>
      <c r="B28" s="300" t="inlineStr">
        <is>
          <t>Control Panel Scenario toggles, fee rates, FI data, ramp schedules (11 semi-annual periods)</t>
        </is>
      </c>
      <c r="C28" s="296" t="n"/>
    </row>
    <row r="29" ht="24" customHeight="1" s="133">
      <c r="A29" s="296" t="n"/>
      <c r="B29" s="300" t="inlineStr">
        <is>
          <t>Team Roadmap the platform Build vs Traditional Build hiring plan: 31 roles across 11 periods with FTE counts</t>
        </is>
      </c>
      <c r="C29" s="296" t="n"/>
    </row>
    <row r="30" ht="24" customHeight="1" s="133">
      <c r="A30" s="296" t="n"/>
      <c r="B30" s="300" t="inlineStr">
        <is>
          <t>DevEx - Build Costs SPEER Engineering contracted build + internal platform + security &amp; audit + regulatory</t>
        </is>
      </c>
      <c r="C30" s="296" t="n"/>
    </row>
    <row r="31" ht="24" customHeight="1" s="133">
      <c r="A31" s="296" t="n"/>
      <c r="B31" s="300" t="inlineStr">
        <is>
          <t>OpEx - Ongoing Semi-annual operating expenses with the platform Build vs Traditional Build comparison and escalation rates</t>
        </is>
      </c>
      <c r="C31" s="296" t="n"/>
    </row>
    <row r="32" ht="24" customHeight="1" s="133">
      <c r="A32" s="296" t="n"/>
      <c r="B32" s="300" t="inlineStr">
        <is>
          <t>Revenue Model Five streams with ALL FORMULAS: Settlement, Issuance, Trading, Custody, SaaS + (reserved)</t>
        </is>
      </c>
      <c r="C32" s="296" t="n"/>
    </row>
    <row r="33" ht="24" customHeight="1" s="133">
      <c r="A33" s="296" t="n"/>
      <c r="B33" s="300" t="inlineStr">
        <is>
          <t>5-Year P&amp;L Summary Consolidated profit &amp; loss with formulas referencing Revenue Model + expenses</t>
        </is>
      </c>
      <c r="C33" s="296" t="n"/>
    </row>
    <row r="34" ht="24" customHeight="1" s="133">
      <c r="A34" s="296" t="n"/>
      <c r="B34" s="300" t="inlineStr">
        <is>
          <t>Ondo Benchmark Side-by-side comparison with Ondo Finance across all key metrics</t>
        </is>
      </c>
      <c r="C34" s="296" t="n"/>
    </row>
    <row r="35" ht="24" customHeight="1" s="133">
      <c r="A35" s="296" t="n"/>
      <c r="B35" s="306" t="inlineStr">
        <is>
          <t>Sources &amp; Validation 60+ line items with source URLs - ATB Annual Report, Pro Forma, pitch deck</t>
        </is>
      </c>
      <c r="C35" s="296" t="n"/>
    </row>
    <row r="36" ht="34.5" customHeight="1" s="133">
      <c r="A36" s="296" t="n"/>
      <c r="B36" s="306" t="inlineStr">
        <is>
          <t>Formula Reference Complete guide to every formula pattern used in the model</t>
        </is>
      </c>
      <c r="C36" s="296" t="n"/>
    </row>
    <row r="37" ht="24" customHeight="1" s="133">
      <c r="A37" s="296" t="n"/>
      <c r="B37" s="300" t="inlineStr">
        <is>
          <t>Pre-Seed Deployment 15-month use-of-proceeds plan for the $3M pre-seed</t>
        </is>
      </c>
      <c r="C37" s="296" t="n"/>
    </row>
    <row r="38" ht="27.75" customHeight="1" s="133">
      <c r="A38" s="296" t="n"/>
      <c r="B38" s="300" t="inlineStr">
        <is>
          <t>Seed Round Sizing Scenario comparison and base-case deployment for the seed round</t>
        </is>
      </c>
      <c r="C38" s="296" t="n"/>
    </row>
    <row r="39" ht="24" customHeight="1" s="133">
      <c r="A39" s="296" t="n"/>
      <c r="B39" s="300" t="inlineStr">
        <is>
          <t>Non-Dilutive Capital Grants, tax credits and advance-financing overview</t>
        </is>
      </c>
      <c r="C39" s="296" t="n"/>
    </row>
    <row r="40" ht="31.5" customHeight="1" s="133">
      <c r="A40" s="296" t="n"/>
      <c r="B40" s="301" t="n"/>
      <c r="C40" s="296" t="n"/>
    </row>
    <row r="41" ht="24" customHeight="1" s="133">
      <c r="A41" s="296" t="n"/>
      <c r="B41" s="302" t="inlineStr">
        <is>
          <t>KEY ASSUMPTIONS</t>
        </is>
      </c>
      <c r="C41" s="296" t="n"/>
    </row>
    <row r="42" ht="24" customHeight="1" s="133">
      <c r="A42" s="296" t="n"/>
      <c r="B42" s="300" t="inlineStr">
        <is>
          <t>ATB Base Data: $43.3B deposits, $29.1B lending, $37.2B AUA (Source: ATB Annual Report FY2025)</t>
        </is>
      </c>
      <c r="C42" s="296" t="n"/>
    </row>
    <row r="43" ht="24" customHeight="1" s="133">
      <c r="A43" s="296" t="n"/>
      <c r="B43" s="300" t="inlineStr">
        <is>
          <t>Tokenization Penetration: 1% deposits, 1.5% issuance, 1.5% custody - conservative first-year capture</t>
        </is>
      </c>
      <c r="C43" s="296" t="n"/>
    </row>
    <row r="44" ht="24" customHeight="1" s="133">
      <c r="A44" s="296" t="n"/>
      <c r="B44" s="303" t="inlineStr">
        <is>
          <t>Fee Pool Splits: 30/60/100/40/80% to 4ORM across 5 streams (per Master Pro Forma)</t>
        </is>
      </c>
      <c r="C44" s="296" t="n"/>
    </row>
    <row r="45" ht="48.75" customHeight="1" s="133">
      <c r="A45" s="296" t="n"/>
      <c r="B45" s="306" t="inlineStr">
        <is>
          <t>Multi-FI Expansion: ATB+BVCU (2028, 50% ramp H1), Servus+Vancity (2029, 50% ramp H1), full capacity next half</t>
        </is>
      </c>
      <c r="C45" s="296" t="n"/>
    </row>
    <row r="46" ht="24" customHeight="1" s="133">
      <c r="A46" s="296" t="n"/>
      <c r="B46" s="300" t="inlineStr">
        <is>
          <t>Annual Growth: 4% conservative YoY (aligned with deposit growth + adoption)</t>
        </is>
      </c>
      <c r="C46" s="296" t="n"/>
    </row>
    <row r="47" ht="24" customHeight="1" s="133">
      <c r="A47" s="296" t="n"/>
      <c r="B47" s="300" t="inlineStr">
        <is>
          <t>platform Build: approximately 35% efficiency-driven headcount reduction via developer tooling</t>
        </is>
      </c>
      <c r="C47" s="296" t="n"/>
    </row>
    <row r="48" ht="24" customHeight="1" s="133">
      <c r="A48" s="296" t="n"/>
      <c r="B48" s="300" t="inlineStr">
        <is>
          <t>SPEER Engineering: 3-phase contracted build totaling $317,304 CAD over 13 months (toggle-gated)</t>
        </is>
      </c>
      <c r="C48" s="296" t="n"/>
    </row>
    <row r="49" ht="34.5" customHeight="1" s="133">
      <c r="A49" s="296" t="n"/>
      <c r="B49" s="301" t="n"/>
      <c r="C49" s="296" t="n"/>
    </row>
    <row r="50" ht="24" customHeight="1" s="133">
      <c r="A50" s="296" t="n"/>
      <c r="B50" s="307" t="inlineStr">
        <is>
          <t>HOW TO USE</t>
        </is>
      </c>
      <c r="C50" s="296" t="n"/>
    </row>
    <row r="51" ht="24" customHeight="1" s="133">
      <c r="A51" s="296" t="n"/>
      <c r="B51" s="300" t="inlineStr">
        <is>
          <t>1. Start on the Control Panel - toggle verticals and build scenarios ON/OFF to model different cases</t>
        </is>
      </c>
      <c r="C51" s="296" t="n"/>
    </row>
    <row r="52" ht="24" customHeight="1" s="133">
      <c r="A52" s="296" t="n"/>
      <c r="B52" s="300" t="inlineStr">
        <is>
          <t>2. Edit yellow input cells to stress test fee rates, FI data, or ramp schedules</t>
        </is>
      </c>
      <c r="C52" s="296" t="n"/>
    </row>
    <row r="53" ht="24" customHeight="1" s="133">
      <c r="A53" s="296" t="n"/>
      <c r="B53" s="300" t="inlineStr">
        <is>
          <t>3. Review the Summary page for the high-level picture, the platform Build vs Traditional Build comparison, and key metrics</t>
        </is>
      </c>
      <c r="C53" s="296" t="n"/>
    </row>
    <row r="54" ht="24" customHeight="1" s="133">
      <c r="A54" s="296" t="n"/>
      <c r="B54" s="303" t="inlineStr">
        <is>
          <t>4. Drill into Revenue Model for the 5-stream breakdown - all values cascade from Control Panel formulas</t>
        </is>
      </c>
      <c r="C54" s="296" t="n"/>
    </row>
    <row r="55" ht="36.75" customHeight="1" s="133">
      <c r="A55" s="296" t="n"/>
      <c r="B55" s="306" t="inlineStr">
        <is>
          <t>5. Check P&amp;L and Summary sheets for automatic updates as you change inputs</t>
        </is>
      </c>
      <c r="C55" s="296" t="n"/>
    </row>
    <row r="56" ht="24" customHeight="1" s="133">
      <c r="A56" s="296" t="n"/>
      <c r="B56" s="301" t="n"/>
      <c r="C56" s="296" t="n"/>
    </row>
    <row r="57" ht="24" customHeight="1" s="133">
      <c r="A57" s="296" t="n"/>
      <c r="B57" s="300" t="inlineStr">
        <is>
          <t>Yellow cells = editable inputs | Blue text = formulas pulling from Control Panel | Black text = dependent formulas</t>
        </is>
      </c>
      <c r="C57" s="296" t="n"/>
    </row>
    <row r="58" ht="24" customHeight="1" s="133">
      <c r="A58" s="296" t="n"/>
      <c r="B58" s="300" t="inlineStr">
        <is>
          <t>Green text = cross-sheet references | Red text = Traditional Build comparison figures</t>
        </is>
      </c>
      <c r="C58" s="296" t="n"/>
    </row>
    <row r="59" ht="24" customHeight="1" s="133">
      <c r="A59" s="296" t="n"/>
      <c r="B59" s="296" t="n"/>
      <c r="C59" s="296" t="n"/>
    </row>
    <row r="60" ht="36.75" customHeight="1" s="133">
      <c r="A60" s="296" t="n"/>
      <c r="B60" s="308" t="inlineStr">
        <is>
          <t>HISTORICAL CHANGE LOG</t>
        </is>
      </c>
      <c r="C60" s="296" t="n"/>
    </row>
    <row r="61" ht="37.5" customHeight="1" s="133">
      <c r="A61" s="296" t="n"/>
      <c r="B61" s="302" t="inlineStr">
        <is>
          <t>V9 CHANGES FROM V8</t>
        </is>
      </c>
      <c r="C61" s="296" t="n"/>
    </row>
    <row r="62" ht="24" customHeight="1" s="133">
      <c r="A62" s="296" t="n"/>
      <c r="B62" s="300" t="inlineStr">
        <is>
          <t>Phased build model - Phase 1 (Pre-Seed) / Phase 2 (Seed) / Phase 3 (Scale)</t>
        </is>
      </c>
      <c r="C62" s="296" t="n"/>
    </row>
    <row r="63" ht="24" customHeight="1" s="133">
      <c r="A63" s="296" t="n"/>
      <c r="B63" s="300" t="inlineStr">
        <is>
          <t>Three new tabs added: Pre-Seed Deployment, Seed Round Sizing, Non-Dilutive Capital</t>
        </is>
      </c>
      <c r="C63" s="296" t="n"/>
    </row>
    <row r="64" ht="24" customHeight="1" s="133">
      <c r="A64" s="296" t="n"/>
      <c r="B64" s="300" t="inlineStr">
        <is>
          <t>'platform Build vs Traditional Build' framing replaces the prior 'Lean vs Traditional' framing</t>
        </is>
      </c>
      <c r="C64" s="296" t="n"/>
    </row>
    <row r="65" ht="24" customHeight="1" s="133">
      <c r="A65" s="296" t="n"/>
      <c r="B65" s="300" t="inlineStr">
        <is>
          <t>Team restructured to match Chad's Phase 1 team (Chad, Zed, Kevin, Bruce, Dean, TBH engineers + advisors)</t>
        </is>
      </c>
      <c r="C65" s="296" t="n"/>
    </row>
    <row r="66" ht="24" customHeight="1" s="133">
      <c r="A66" s="296" t="n"/>
      <c r="B66" s="300" t="inlineStr">
        <is>
          <t>Deferred CIRO / CSA / SOC 2 / initial audit costs to Phase 2 (H1 2028+)</t>
        </is>
      </c>
      <c r="C66" s="296" t="n"/>
    </row>
    <row r="67" ht="24" customHeight="1" s="133">
      <c r="A67" s="296" t="n"/>
      <c r="B67" s="300" t="inlineStr">
        <is>
          <t>Revenue timing pushed +12 months (ATB / BVCU H1 2028; Servus / Vancity H1 2029)</t>
        </is>
      </c>
      <c r="C67" s="296" t="n"/>
    </row>
    <row r="68" ht="24" customHeight="1" s="133">
      <c r="A68" s="296" t="n"/>
      <c r="B68" s="303" t="inlineStr">
        <is>
          <t>Sheet titles cleaned for standards compliance (DevEx - Build Costs, OpEx - Ongoing)</t>
        </is>
      </c>
      <c r="C68" s="296" t="n"/>
    </row>
    <row r="69" ht="24" customHeight="1" s="133">
      <c r="A69" s="296" t="n"/>
      <c r="B69" s="309" t="n"/>
      <c r="C69" s="296" t="n"/>
    </row>
    <row r="70" ht="36" customHeight="1" s="133">
      <c r="A70" s="296" t="n"/>
      <c r="B70" s="302" t="inlineStr">
        <is>
          <t>V9.0 ADDITIONS (from V7)</t>
        </is>
      </c>
      <c r="C70" s="296" t="n"/>
    </row>
    <row r="71" ht="24" customHeight="1" s="133">
      <c r="A71" s="296" t="n"/>
      <c r="B71" s="300" t="inlineStr">
        <is>
          <t>(Reserved 6th Stream) stream (see Control Panel rows 136-144) - value-based gainshare pricing on verified settlement savings</t>
        </is>
      </c>
      <c r="C71" s="296" t="n"/>
    </row>
    <row r="72" ht="24" customHeight="1" s="133">
      <c r="A72" s="296" t="n"/>
      <c r="B72" s="300" t="inlineStr">
        <is>
          <t>Savings categories per institution: compliance labour, reconciliation, cheque/payment processing, correspondent fees, overnight settlement fees, trapped liquidity, workforce productivity</t>
        </is>
      </c>
      <c r="C72" s="296" t="n"/>
    </row>
    <row r="73" ht="24" customHeight="1" s="133">
      <c r="A73" s="296" t="n"/>
      <c r="B73" s="300" t="inlineStr">
        <is>
          <t>Savings methodology deflated below demo v2 cost-model defaults; every parameter sourced (BoC rate, Payments Canada ACSS, FINTRAC alert rates, SWIFT MT fees)</t>
        </is>
      </c>
      <c r="C73" s="296" t="n"/>
    </row>
    <row r="74" ht="39.75" customHeight="1" s="133">
      <c r="A74" s="296" t="n"/>
      <c r="B74" s="300" t="inlineStr">
        <is>
          <t>Platform context: 4orm's planned control plane - T+0 DvP settlement architecture; JPM Kinexys $3T+ cumulative / $5-7B per day proves the rail at scale</t>
        </is>
      </c>
      <c r="C74" s="296" t="n"/>
    </row>
    <row r="75" ht="24" customHeight="1" s="133">
      <c r="A75" s="296" t="n"/>
      <c r="B75" s="300" t="inlineStr">
        <is>
          <t>CIRO Digital Asset Custody Framework (Feb 2026) requirements documented</t>
        </is>
      </c>
      <c r="C75" s="296" t="n"/>
    </row>
    <row r="76">
      <c r="A76" s="296" t="n"/>
      <c r="B76" s="303" t="inlineStr">
        <is>
          <t>Regulatory requirements checklist: CIRO dealer, custody separation, SOC 2, weekly monitoring</t>
        </is>
      </c>
      <c r="C76" s="296" t="n"/>
    </row>
    <row r="77">
      <c r="A77" s="296" t="n"/>
      <c r="B77" s="303" t="inlineStr">
        <is>
          <t>Corporate entity annual overhead estimated at $445K-$615K (already included in OpEx line items)</t>
        </is>
      </c>
      <c r="C77" s="296" t="n"/>
    </row>
    <row r="78">
      <c r="A78" s="296" t="n"/>
      <c r="B78" s="310" t="n"/>
      <c r="C78" s="296" t="n"/>
    </row>
    <row r="79">
      <c r="A79" s="296" t="n"/>
      <c r="B79" s="311" t="inlineStr">
        <is>
          <t>V7.0 - TOKENIZATION PENETRATION RAMP</t>
        </is>
      </c>
      <c r="C79" s="296" t="n"/>
    </row>
    <row r="80">
      <c r="A80" s="296" t="n"/>
      <c r="B80" s="312" t="inlineStr">
        <is>
          <t>Tokenization Penetration Ramp added to Control Panel - scales deposit tokenization from 1% to 5% over 5 years</t>
        </is>
      </c>
      <c r="C80" s="296" t="n"/>
    </row>
    <row r="81">
      <c r="A81" s="296" t="n"/>
      <c r="B81" s="312" t="inlineStr">
        <is>
          <t>Issuance/Custody tokenization scales from 1.5% to 7.5% (tracks at 1.5x deposit rate)</t>
        </is>
      </c>
      <c r="C81" s="296" t="n"/>
    </row>
    <row r="82">
      <c r="A82" s="296" t="n"/>
      <c r="B82" s="312" t="inlineStr">
        <is>
          <t>Toggle: 'Use Ramp Schedule' (1=Ramp, 0=Flat) - set to 0 to revert to conservative flat 1%/1.5%</t>
        </is>
      </c>
      <c r="C82" s="296" t="n"/>
    </row>
    <row r="83">
      <c r="A83" s="296" t="n"/>
      <c r="B83" s="312" t="inlineStr">
        <is>
          <t>All revenue formulas updated: IF(Use_Ramp=1, per_period_rate, flat_rate)</t>
        </is>
      </c>
      <c r="C83" s="296" t="n"/>
    </row>
    <row r="84">
      <c r="A84" s="296" t="n"/>
      <c r="B84" s="312" t="inlineStr">
        <is>
          <t>Industry benchmarks added: JPM Kinexys ($1.5T+, 10x YoY), BoC Project Samara, McKinsey 75% CAGR forecast</t>
        </is>
      </c>
      <c r="C84" s="296" t="n"/>
    </row>
    <row r="85">
      <c r="A85" s="296" t="n"/>
      <c r="B85" s="303" t="inlineStr">
        <is>
          <t>Default ramp is conservative vs industry trajectory - JPM scaling faster, McKinsey projects $2-4T by 2030</t>
        </is>
      </c>
      <c r="C85" s="296" t="n"/>
    </row>
    <row r="86">
      <c r="A86" s="296" t="n"/>
      <c r="B86" s="296" t="n"/>
      <c r="C86" s="296" t="n"/>
    </row>
    <row r="87">
      <c r="A87" s="296" t="n"/>
      <c r="B87" s="305" t="inlineStr">
        <is>
          <t>CONTACT</t>
        </is>
      </c>
      <c r="C87" s="296" t="n"/>
    </row>
    <row r="88">
      <c r="A88" s="296" t="n"/>
      <c r="B88" s="303" t="inlineStr">
        <is>
          <t>Chad Johnston, Founder and CEO</t>
        </is>
      </c>
      <c r="C88" s="296" t="n"/>
    </row>
    <row r="89">
      <c r="A89" s="296" t="n"/>
      <c r="B89" s="303" t="inlineStr">
        <is>
          <t>chad@kcs-capital.com</t>
        </is>
      </c>
      <c r="C89" s="296" t="n"/>
    </row>
    <row r="90">
      <c r="B90" s="313" t="inlineStr">
        <is>
          <t>4orm Finance Inc.</t>
        </is>
      </c>
    </row>
    <row r="91">
      <c r="B91" s="313" t="inlineStr">
        <is>
          <t>Unit 400, 718 8 Ave SW, Calgary, AB T2P 1H3</t>
        </is>
      </c>
    </row>
    <row r="92">
      <c r="B92" s="313" t="inlineStr">
        <is>
          <t>Model Version: 10.0 DATA ROOM</t>
        </is>
      </c>
    </row>
    <row r="93">
      <c r="B93" s="313" t="inlineStr">
        <is>
          <t>Date: July 3,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C00000"/>
    <outlinePr summaryBelow="1" summaryRight="1"/>
    <pageSetUpPr fitToPage="0"/>
  </sheetPr>
  <dimension ref="A1:N17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42" customWidth="1" style="131" min="1" max="1"/>
    <col width="14" customWidth="1" style="131" min="2" max="2"/>
    <col width="12" customWidth="1" style="131" min="3" max="13"/>
    <col width="14" customWidth="1" style="131" min="14" max="14"/>
  </cols>
  <sheetData>
    <row r="1" ht="48" customFormat="1" customHeight="1" s="141">
      <c r="A1" s="142" t="inlineStr">
        <is>
          <t>4ORM FINANCE - SCENARIO CONTROL PANEL</t>
        </is>
      </c>
    </row>
    <row r="2" ht="15" customHeight="1" s="133">
      <c r="A2" s="143" t="inlineStr">
        <is>
          <t>Set toggles to 1 (ON) or 0 (OFF) - all sheets reference these cells | Yellow cells = editable inputs</t>
        </is>
      </c>
    </row>
    <row r="4" ht="23.25" customHeight="1" s="133">
      <c r="A4" s="144" t="inlineStr">
        <is>
          <t>Scenario / Vertical</t>
        </is>
      </c>
      <c r="B4" s="144" t="inlineStr">
        <is>
          <t>Toggle (1=ON, 0=OFF)</t>
        </is>
      </c>
      <c r="C4" s="144" t="inlineStr">
        <is>
          <t>Status</t>
        </is>
      </c>
      <c r="D4" s="144" t="inlineStr">
        <is>
          <t>Description</t>
        </is>
      </c>
    </row>
    <row r="5" ht="15" customHeight="1" s="133">
      <c r="A5" s="145" t="inlineStr">
        <is>
          <t>REVENUE STREAMS</t>
        </is>
      </c>
      <c r="B5" s="145" t="n"/>
      <c r="C5" s="145" t="n"/>
      <c r="D5" s="145" t="n"/>
    </row>
    <row r="6" ht="15" customHeight="1" s="133">
      <c r="A6" s="146" t="inlineStr">
        <is>
          <t>Settlement Fees (1.5 bps)</t>
        </is>
      </c>
      <c r="B6" s="147" t="n">
        <v>1</v>
      </c>
      <c r="C6" s="148">
        <f>IF(B6=1,"ON","OFF")</f>
        <v/>
      </c>
      <c r="D6" s="149" t="inlineStr">
        <is>
          <t>Deposits x 5x turnover x 1% tokenized x 1.5 bps - 4ORM 30%</t>
        </is>
      </c>
    </row>
    <row r="7" ht="15" customHeight="1" s="133">
      <c r="A7" s="146" t="inlineStr">
        <is>
          <t>Issuance Fees (0.5%)</t>
        </is>
      </c>
      <c r="B7" s="147" t="n">
        <v>1</v>
      </c>
      <c r="C7" s="148">
        <f>IF(B7=1,"ON","OFF")</f>
        <v/>
      </c>
      <c r="D7" s="149" t="inlineStr">
        <is>
          <t>Lending x 1.5% tokenized x 0.5% - 4ORM 60%</t>
        </is>
      </c>
    </row>
    <row r="8" ht="15" customHeight="1" s="133">
      <c r="A8" s="146" t="inlineStr">
        <is>
          <t>Trading Fees (5 bps)</t>
        </is>
      </c>
      <c r="B8" s="147" t="n">
        <v>1</v>
      </c>
      <c r="C8" s="148">
        <f>IF(B8=1,"ON","OFF")</f>
        <v/>
      </c>
      <c r="D8" s="149" t="inlineStr">
        <is>
          <t>40% of issuance volume x 5 bps - 4ORM 100%</t>
        </is>
      </c>
    </row>
    <row r="9" ht="15" customHeight="1" s="133">
      <c r="A9" s="146" t="inlineStr">
        <is>
          <t>Custody Fees (30 bps)</t>
        </is>
      </c>
      <c r="B9" s="147" t="n">
        <v>1</v>
      </c>
      <c r="C9" s="148">
        <f>IF(B9=1,"ON","OFF")</f>
        <v/>
      </c>
      <c r="D9" s="149" t="inlineStr">
        <is>
          <t>AUA x 1.5% tokenized x 30 bps - 4ORM 40%</t>
        </is>
      </c>
    </row>
    <row r="10" ht="15" customHeight="1" s="133">
      <c r="A10" s="146" t="inlineStr">
        <is>
          <t>SaaS + APIs</t>
        </is>
      </c>
      <c r="B10" s="147" t="n">
        <v>1</v>
      </c>
      <c r="C10" s="148">
        <f>IF(B10=1,"ON","OFF")</f>
        <v/>
      </c>
      <c r="D10" s="149" t="inlineStr">
        <is>
          <t>Enterprise clients x $25K/mo - 4ORM 80%</t>
        </is>
      </c>
    </row>
    <row r="11" ht="15" customHeight="1" s="133">
      <c r="A11" s="146" t="inlineStr">
        <is>
          <t>(reserved slot - vertical removed)</t>
        </is>
      </c>
      <c r="B11" s="147" t="n">
        <v>0</v>
      </c>
      <c r="C11" s="148">
        <f>IF(B11=1,"ON","OFF")</f>
        <v/>
      </c>
      <c r="D11" s="149" t="inlineStr">
        <is>
          <t>Removed from v10 scope</t>
        </is>
      </c>
    </row>
    <row r="13" ht="15" customHeight="1" s="133">
      <c r="A13" s="150" t="inlineStr">
        <is>
          <t>PARTNER INSTITUTIONS</t>
        </is>
      </c>
      <c r="B13" s="150" t="n"/>
      <c r="C13" s="150" t="n"/>
      <c r="D13" s="150" t="n"/>
    </row>
    <row r="14" ht="15" customHeight="1" s="133">
      <c r="A14" s="146" t="inlineStr">
        <is>
          <t>ATB Financial (Anchor)</t>
        </is>
      </c>
      <c r="B14" s="147" t="n">
        <v>1</v>
      </c>
      <c r="C14" s="148">
        <f>IF(B14=1,"ON","OFF")</f>
        <v/>
      </c>
      <c r="D14" s="149" t="inlineStr">
        <is>
          <t>$43.3B deposits - starts 2027 (anchor)</t>
        </is>
      </c>
    </row>
    <row r="15" ht="15" customHeight="1" s="133">
      <c r="A15" s="146" t="inlineStr">
        <is>
          <t>Bow Valley Credit Union</t>
        </is>
      </c>
      <c r="B15" s="147" t="n">
        <v>1</v>
      </c>
      <c r="C15" s="148">
        <f>IF(B15=1,"ON","OFF")</f>
        <v/>
      </c>
      <c r="D15" s="149" t="inlineStr">
        <is>
          <t>~$2B est. - starts 2027</t>
        </is>
      </c>
    </row>
    <row r="16" ht="15" customHeight="1" s="133">
      <c r="A16" s="146" t="inlineStr">
        <is>
          <t>Vancity Credit Union</t>
        </is>
      </c>
      <c r="B16" s="147" t="n">
        <v>1</v>
      </c>
      <c r="C16" s="148">
        <f>IF(B16=1,"ON","OFF")</f>
        <v/>
      </c>
      <c r="D16" s="149" t="inlineStr">
        <is>
          <t>$35.5B AUA - starts 2028</t>
        </is>
      </c>
    </row>
    <row r="17" ht="15" customHeight="1" s="133">
      <c r="A17" s="146" t="inlineStr">
        <is>
          <t>Servus Credit Union</t>
        </is>
      </c>
      <c r="B17" s="147" t="n">
        <v>1</v>
      </c>
      <c r="C17" s="148">
        <f>IF(B17=1,"ON","OFF")</f>
        <v/>
      </c>
      <c r="D17" s="149" t="inlineStr">
        <is>
          <t>$29.3B assets - starts 2028</t>
        </is>
      </c>
    </row>
    <row r="19" ht="15" customHeight="1" s="133">
      <c r="A19" s="151" t="inlineStr">
        <is>
          <t>BUILD SCENARIOS</t>
        </is>
      </c>
      <c r="B19" s="151" t="n"/>
      <c r="C19" s="151" t="n"/>
      <c r="D19" s="151" t="n"/>
    </row>
    <row r="20" ht="15" customHeight="1" s="133">
      <c r="A20" s="146" t="inlineStr">
        <is>
          <t>platform Build</t>
        </is>
      </c>
      <c r="B20" s="147" t="n">
        <v>1</v>
      </c>
      <c r="C20" s="148">
        <f>IF(B20=1,"ON","OFF")</f>
        <v/>
      </c>
      <c r="D20" s="149" t="inlineStr">
        <is>
          <t>MASTER SWITCH: 1 = the platform Build flows to P&amp;L; 0 = Traditional. ~35% headcount savings via developer tooling</t>
        </is>
      </c>
    </row>
    <row r="21" ht="15" customHeight="1" s="133">
      <c r="A21" s="146" t="inlineStr">
        <is>
          <t>Traditional Build</t>
        </is>
      </c>
      <c r="B21" s="147">
        <f>1-B20</f>
        <v/>
      </c>
      <c r="C21" s="148">
        <f>IF(B21=1,"ON","OFF")</f>
        <v/>
      </c>
      <c r="D21" s="149" t="inlineStr">
        <is>
          <t>Full team, no developer tooling - compare side-by-side</t>
        </is>
      </c>
    </row>
    <row r="22" ht="15" customHeight="1" s="133">
      <c r="A22" s="146" t="inlineStr">
        <is>
          <t>SPEER Engineering (External)</t>
        </is>
      </c>
      <c r="B22" s="147" t="n">
        <v>1</v>
      </c>
      <c r="C22" s="148">
        <f>IF(B22=1,"ON","OFF")</f>
        <v/>
      </c>
      <c r="D22" s="149" t="inlineStr">
        <is>
          <t>Gates SPEER phases 1-3 + HST on DevEx sheet. Total $317,304 CAD; deposit Sept 1 2026 + 12 monthly installments through Sept 2027</t>
        </is>
      </c>
    </row>
    <row r="23" ht="15" customHeight="1" s="133">
      <c r="A23" s="146" t="inlineStr">
        <is>
          <t>SPEER Fractional CTO</t>
        </is>
      </c>
      <c r="B23" s="147" t="n">
        <v>0</v>
      </c>
      <c r="C23" s="148">
        <f>IF(B23=1,"ON","OFF")</f>
        <v/>
      </c>
      <c r="D23" s="149" t="inlineStr">
        <is>
          <t>Gates SPEER Fractional CTO row on DevEx ($18K/half)</t>
        </is>
      </c>
    </row>
    <row r="24" ht="15" customHeight="1" s="133">
      <c r="A24" s="146" t="inlineStr">
        <is>
          <t>SPEER Grants/SR&amp;ED Support</t>
        </is>
      </c>
      <c r="B24" s="147" t="n">
        <v>1</v>
      </c>
      <c r="C24" s="148">
        <f>IF(B24=1,"ON","OFF")</f>
        <v/>
      </c>
      <c r="D24" s="149" t="inlineStr">
        <is>
          <t>Gates SR&amp;ED credit line in OpEx (negative expense)</t>
        </is>
      </c>
    </row>
    <row r="26" ht="15" customHeight="1" s="133">
      <c r="A26" s="151" t="inlineStr">
        <is>
          <t>MACRO ASSUMPTIONS</t>
        </is>
      </c>
      <c r="B26" s="151" t="n"/>
      <c r="C26" s="151" t="n"/>
      <c r="D26" s="151" t="n"/>
    </row>
    <row r="27" ht="15" customHeight="1" s="133">
      <c r="A27" s="146" t="inlineStr">
        <is>
          <t>Deposit Tokenization Rate</t>
        </is>
      </c>
      <c r="B27" s="152" t="n">
        <v>0.01</v>
      </c>
      <c r="C27" s="153" t="inlineStr">
        <is>
          <t>1.0%</t>
        </is>
      </c>
      <c r="D27" s="149" t="inlineStr">
        <is>
          <t>Percentage of FI deposits tokenized on platform</t>
        </is>
      </c>
    </row>
    <row r="28" ht="15" customHeight="1" s="133">
      <c r="A28" s="146" t="inlineStr">
        <is>
          <t>Issuance/Custody Tokenization Rate</t>
        </is>
      </c>
      <c r="B28" s="152" t="n">
        <v>0.015</v>
      </c>
      <c r="C28" s="153" t="inlineStr">
        <is>
          <t>1.5%</t>
        </is>
      </c>
      <c r="D28" s="149" t="inlineStr">
        <is>
          <t>Percentage of lending/AUA tokenized</t>
        </is>
      </c>
    </row>
    <row r="29" ht="15" customHeight="1" s="133">
      <c r="A29" s="146" t="inlineStr">
        <is>
          <t>Deposit Turnover Multiplier</t>
        </is>
      </c>
      <c r="B29" s="154" t="n">
        <v>5</v>
      </c>
      <c r="C29" s="153" t="inlineStr">
        <is>
          <t>5x</t>
        </is>
      </c>
      <c r="D29" s="149" t="inlineStr">
        <is>
          <t>Annual turnover on tokenized deposits (settlement volume)</t>
        </is>
      </c>
    </row>
    <row r="30" ht="15" customHeight="1" s="133">
      <c r="A30" s="146" t="inlineStr">
        <is>
          <t>Annual Growth Rate</t>
        </is>
      </c>
      <c r="B30" s="152" t="n">
        <v>0.04</v>
      </c>
      <c r="C30" s="153" t="inlineStr">
        <is>
          <t>4.0%</t>
        </is>
      </c>
      <c r="D30" s="149" t="inlineStr">
        <is>
          <t>Conservative YoY growth in volume + adoption</t>
        </is>
      </c>
    </row>
    <row r="31" ht="15" customHeight="1" s="133">
      <c r="A31" s="146" t="inlineStr">
        <is>
          <t>ATB Deposit Base ($B)</t>
        </is>
      </c>
      <c r="B31" s="155" t="n">
        <v>43.3</v>
      </c>
      <c r="C31" s="153" t="inlineStr">
        <is>
          <t>$43.3B</t>
        </is>
      </c>
      <c r="D31" s="149" t="inlineStr">
        <is>
          <t>Source: ATB Annual Report FY2025</t>
        </is>
      </c>
    </row>
    <row r="32" ht="15" customHeight="1" s="133">
      <c r="A32" s="146" t="inlineStr">
        <is>
          <t>ATB Lending Base ($B)</t>
        </is>
      </c>
      <c r="B32" s="155" t="n">
        <v>29.1</v>
      </c>
      <c r="C32" s="153" t="inlineStr">
        <is>
          <t>$29.1B</t>
        </is>
      </c>
      <c r="D32" s="149" t="inlineStr">
        <is>
          <t>Source: ATB Annual Report FY2025</t>
        </is>
      </c>
    </row>
    <row r="33" ht="15" customHeight="1" s="133">
      <c r="A33" s="146" t="inlineStr">
        <is>
          <t>ATB AUA ($B)</t>
        </is>
      </c>
      <c r="B33" s="155" t="n">
        <v>37.2</v>
      </c>
      <c r="C33" s="153" t="inlineStr">
        <is>
          <t>$37.2B</t>
        </is>
      </c>
      <c r="D33" s="149" t="inlineStr">
        <is>
          <t>Source: ATB Annual Report FY2025</t>
        </is>
      </c>
    </row>
    <row r="34" ht="15" customHeight="1" s="133">
      <c r="A34" s="146" t="inlineStr">
        <is>
          <t>Enterprise Clients (ATB)</t>
        </is>
      </c>
      <c r="B34" s="154" t="n">
        <v>20</v>
      </c>
      <c r="C34" s="153" t="inlineStr">
        <is>
          <t>20</t>
        </is>
      </c>
      <c r="D34" s="149" t="inlineStr">
        <is>
          <t>Enterprise SaaS clients at ATB</t>
        </is>
      </c>
    </row>
    <row r="35" ht="15" customHeight="1" s="133">
      <c r="A35" s="146" t="inlineStr">
        <is>
          <t>SaaS Price per Client ($/mo)</t>
        </is>
      </c>
      <c r="B35" s="156" t="n">
        <v>25000</v>
      </c>
      <c r="C35" s="153" t="inlineStr">
        <is>
          <t>$25K/mo</t>
        </is>
      </c>
      <c r="D35" s="149" t="inlineStr">
        <is>
          <t>Monthly SaaS + API licensing fee</t>
        </is>
      </c>
    </row>
    <row r="36" ht="15" customHeight="1" s="133">
      <c r="A36" s="146" t="inlineStr">
        <is>
          <t>Salary Escalation</t>
        </is>
      </c>
      <c r="B36" s="152" t="n">
        <v>0.03</v>
      </c>
      <c r="C36" s="153" t="inlineStr">
        <is>
          <t>3.0%</t>
        </is>
      </c>
      <c r="D36" s="149" t="inlineStr">
        <is>
          <t>Standard Canadian CPI-linked</t>
        </is>
      </c>
    </row>
    <row r="37" ht="15" customHeight="1" s="133">
      <c r="A37" s="146" t="inlineStr">
        <is>
          <t>Infrastructure Escalation</t>
        </is>
      </c>
      <c r="B37" s="152" t="n">
        <v>0.12</v>
      </c>
      <c r="C37" s="153" t="inlineStr">
        <is>
          <t>12.0%</t>
        </is>
      </c>
      <c r="D37" s="149" t="inlineStr">
        <is>
          <t>Cloud/blockchain scales with usage</t>
        </is>
      </c>
    </row>
    <row r="39" ht="15" customHeight="1" s="133">
      <c r="A39" s="157" t="inlineStr">
        <is>
          <t>FEE RATES &amp; SPLITS</t>
        </is>
      </c>
      <c r="B39" s="157" t="n"/>
      <c r="C39" s="157" t="n"/>
      <c r="D39" s="157" t="n"/>
    </row>
    <row r="40" ht="15" customHeight="1" s="133">
      <c r="A40" s="144" t="inlineStr">
        <is>
          <t>Stream</t>
        </is>
      </c>
      <c r="B40" s="144" t="inlineStr">
        <is>
          <t>Fee Rate</t>
        </is>
      </c>
      <c r="C40" s="144" t="inlineStr">
        <is>
          <t>4ORM Split</t>
        </is>
      </c>
      <c r="D40" s="144" t="inlineStr">
        <is>
          <t>Description</t>
        </is>
      </c>
    </row>
    <row r="41" ht="15" customHeight="1" s="133">
      <c r="A41" s="146" t="inlineStr">
        <is>
          <t>Settlement</t>
        </is>
      </c>
      <c r="B41" s="158" t="n">
        <v>0.00015</v>
      </c>
      <c r="C41" s="159" t="n">
        <v>0.3</v>
      </c>
      <c r="D41" s="149" t="inlineStr">
        <is>
          <t>1.5 bps of settlement volume</t>
        </is>
      </c>
    </row>
    <row r="42" ht="15" customHeight="1" s="133">
      <c r="A42" s="146" t="inlineStr">
        <is>
          <t>Issuance</t>
        </is>
      </c>
      <c r="B42" s="158" t="n">
        <v>0.005</v>
      </c>
      <c r="C42" s="159" t="n">
        <v>0.6</v>
      </c>
      <c r="D42" s="149" t="inlineStr">
        <is>
          <t>0.5% of issuance volume</t>
        </is>
      </c>
    </row>
    <row r="43" ht="15" customHeight="1" s="133">
      <c r="A43" s="146" t="inlineStr">
        <is>
          <t>Trading</t>
        </is>
      </c>
      <c r="B43" s="158" t="n">
        <v>0.0005</v>
      </c>
      <c r="C43" s="159" t="n">
        <v>1</v>
      </c>
      <c r="D43" s="149" t="inlineStr">
        <is>
          <t>5 bps of trading volume</t>
        </is>
      </c>
    </row>
    <row r="44" ht="15" customHeight="1" s="133">
      <c r="A44" s="146" t="inlineStr">
        <is>
          <t>Custody</t>
        </is>
      </c>
      <c r="B44" s="158" t="n">
        <v>0.003</v>
      </c>
      <c r="C44" s="159" t="n">
        <v>0.4</v>
      </c>
      <c r="D44" s="149" t="inlineStr">
        <is>
          <t>30 bps of custody AUA</t>
        </is>
      </c>
    </row>
    <row r="45" ht="15" customHeight="1" s="133">
      <c r="A45" s="146" t="inlineStr">
        <is>
          <t>SaaS</t>
        </is>
      </c>
      <c r="B45" s="156">
        <f>B35*12</f>
        <v/>
      </c>
      <c r="C45" s="159" t="n">
        <v>0.8</v>
      </c>
      <c r="D45" s="149" t="inlineStr">
        <is>
          <t>Annual per enterprise client</t>
        </is>
      </c>
    </row>
    <row r="47" ht="15" customHeight="1" s="133">
      <c r="A47" s="145" t="inlineStr">
        <is>
          <t>FI BASE DATA</t>
        </is>
      </c>
      <c r="B47" s="145" t="n"/>
      <c r="C47" s="145" t="n"/>
      <c r="D47" s="145" t="n"/>
      <c r="E47" s="145" t="n"/>
      <c r="F47" s="145" t="n"/>
    </row>
    <row r="48" ht="23.25" customHeight="1" s="133">
      <c r="A48" s="144" t="inlineStr">
        <is>
          <t>Institution</t>
        </is>
      </c>
      <c r="B48" s="144" t="inlineStr">
        <is>
          <t>Deposits $M</t>
        </is>
      </c>
      <c r="C48" s="144" t="inlineStr">
        <is>
          <t>Lending $M</t>
        </is>
      </c>
      <c r="D48" s="144" t="inlineStr">
        <is>
          <t>AUA $M</t>
        </is>
      </c>
      <c r="E48" s="144" t="inlineStr">
        <is>
          <t>Enterprise Clients</t>
        </is>
      </c>
      <c r="F48" s="144" t="inlineStr">
        <is>
          <t>Start Period</t>
        </is>
      </c>
    </row>
    <row r="49" ht="15" customHeight="1" s="133">
      <c r="A49" s="146" t="inlineStr">
        <is>
          <t>ATB Financial</t>
        </is>
      </c>
      <c r="B49" s="154" t="n">
        <v>43332</v>
      </c>
      <c r="C49" s="154" t="n">
        <v>29100</v>
      </c>
      <c r="D49" s="154" t="n">
        <v>37166</v>
      </c>
      <c r="E49" s="160" t="n">
        <v>20</v>
      </c>
      <c r="F49" s="160" t="n">
        <v>1</v>
      </c>
    </row>
    <row r="50" ht="15" customHeight="1" s="133">
      <c r="A50" s="146" t="inlineStr">
        <is>
          <t>Bow Valley CU</t>
        </is>
      </c>
      <c r="B50" s="154" t="n">
        <v>2000</v>
      </c>
      <c r="C50" s="154" t="n">
        <v>1200</v>
      </c>
      <c r="D50" s="154" t="n">
        <v>1500</v>
      </c>
      <c r="E50" s="160" t="n">
        <v>3</v>
      </c>
      <c r="F50" s="160" t="n">
        <v>1</v>
      </c>
    </row>
    <row r="51" ht="15" customHeight="1" s="133">
      <c r="A51" s="146" t="inlineStr">
        <is>
          <t>Vancity CU</t>
        </is>
      </c>
      <c r="B51" s="154" t="n">
        <v>25000</v>
      </c>
      <c r="C51" s="154" t="n">
        <v>18000</v>
      </c>
      <c r="D51" s="154" t="n">
        <v>30000</v>
      </c>
      <c r="E51" s="160" t="n">
        <v>12</v>
      </c>
      <c r="F51" s="160" t="n">
        <v>3</v>
      </c>
    </row>
    <row r="52" ht="15" customHeight="1" s="133">
      <c r="A52" s="146" t="inlineStr">
        <is>
          <t>Servus CU</t>
        </is>
      </c>
      <c r="B52" s="154" t="n">
        <v>20000</v>
      </c>
      <c r="C52" s="154" t="n">
        <v>15000</v>
      </c>
      <c r="D52" s="154" t="n">
        <v>20000</v>
      </c>
      <c r="E52" s="160" t="n">
        <v>10</v>
      </c>
      <c r="F52" s="160" t="n">
        <v>3</v>
      </c>
    </row>
    <row r="54" ht="15" customHeight="1" s="133">
      <c r="A54" s="151" t="inlineStr">
        <is>
          <t>ONBOARDING RAMP SCHEDULE (Semi-Annual)</t>
        </is>
      </c>
      <c r="B54" s="151" t="n"/>
      <c r="C54" s="151" t="n"/>
      <c r="D54" s="151" t="n"/>
      <c r="E54" s="151" t="n"/>
      <c r="F54" s="151" t="n"/>
      <c r="G54" s="151" t="n"/>
      <c r="H54" s="151" t="n"/>
      <c r="I54" s="151" t="n"/>
      <c r="J54" s="151" t="n"/>
      <c r="K54" s="151" t="n"/>
      <c r="L54" s="151" t="n"/>
    </row>
    <row r="55" ht="15" customHeight="1" s="133">
      <c r="A55" s="144" t="inlineStr">
        <is>
          <t>FI</t>
        </is>
      </c>
      <c r="B55" s="144" t="inlineStr">
        <is>
          <t>H2 2026</t>
        </is>
      </c>
      <c r="C55" s="144" t="inlineStr">
        <is>
          <t>H1 2027</t>
        </is>
      </c>
      <c r="D55" s="144" t="inlineStr">
        <is>
          <t>H2 2027</t>
        </is>
      </c>
      <c r="E55" s="144" t="inlineStr">
        <is>
          <t>H1 2028</t>
        </is>
      </c>
      <c r="F55" s="144" t="inlineStr">
        <is>
          <t>H2 2028</t>
        </is>
      </c>
      <c r="G55" s="144" t="inlineStr">
        <is>
          <t>H1 2029</t>
        </is>
      </c>
      <c r="H55" s="144" t="inlineStr">
        <is>
          <t>H2 2029</t>
        </is>
      </c>
      <c r="I55" s="144" t="inlineStr">
        <is>
          <t>H1 2030</t>
        </is>
      </c>
      <c r="J55" s="144" t="inlineStr">
        <is>
          <t>H2 2030</t>
        </is>
      </c>
      <c r="K55" s="144" t="inlineStr">
        <is>
          <t>H1 2031</t>
        </is>
      </c>
      <c r="L55" s="144" t="inlineStr">
        <is>
          <t>H2 2031</t>
        </is>
      </c>
    </row>
    <row r="56" ht="15" customHeight="1" s="133">
      <c r="A56" s="146" t="inlineStr">
        <is>
          <t>ATB Financial</t>
        </is>
      </c>
      <c r="B56" s="161" t="n">
        <v>0</v>
      </c>
      <c r="C56" s="161" t="n">
        <v>0</v>
      </c>
      <c r="D56" s="161" t="n">
        <v>0</v>
      </c>
      <c r="E56" s="161" t="n">
        <v>0.5</v>
      </c>
      <c r="F56" s="161" t="n">
        <v>1</v>
      </c>
      <c r="G56" s="161" t="n">
        <v>1</v>
      </c>
      <c r="H56" s="161" t="n">
        <v>1</v>
      </c>
      <c r="I56" s="161" t="n">
        <v>1</v>
      </c>
      <c r="J56" s="161" t="n">
        <v>1</v>
      </c>
      <c r="K56" s="161" t="n">
        <v>1</v>
      </c>
      <c r="L56" s="161" t="n">
        <v>1</v>
      </c>
    </row>
    <row r="57" ht="15" customHeight="1" s="133">
      <c r="A57" s="146" t="inlineStr">
        <is>
          <t>Bow Valley CU</t>
        </is>
      </c>
      <c r="B57" s="161" t="n">
        <v>0</v>
      </c>
      <c r="C57" s="161" t="n">
        <v>0</v>
      </c>
      <c r="D57" s="161" t="n">
        <v>0</v>
      </c>
      <c r="E57" s="161" t="n">
        <v>0.5</v>
      </c>
      <c r="F57" s="161" t="n">
        <v>1</v>
      </c>
      <c r="G57" s="161" t="n">
        <v>1</v>
      </c>
      <c r="H57" s="161" t="n">
        <v>1</v>
      </c>
      <c r="I57" s="161" t="n">
        <v>1</v>
      </c>
      <c r="J57" s="161" t="n">
        <v>1</v>
      </c>
      <c r="K57" s="161" t="n">
        <v>1</v>
      </c>
      <c r="L57" s="161" t="n">
        <v>1</v>
      </c>
    </row>
    <row r="58" ht="15" customHeight="1" s="133">
      <c r="A58" s="146" t="inlineStr">
        <is>
          <t>Vancity CU</t>
        </is>
      </c>
      <c r="B58" s="161" t="n">
        <v>0</v>
      </c>
      <c r="C58" s="161" t="n">
        <v>0</v>
      </c>
      <c r="D58" s="161" t="n">
        <v>0</v>
      </c>
      <c r="E58" s="161" t="n">
        <v>0</v>
      </c>
      <c r="F58" s="161" t="n">
        <v>0</v>
      </c>
      <c r="G58" s="161" t="n">
        <v>0.5</v>
      </c>
      <c r="H58" s="161" t="n">
        <v>1</v>
      </c>
      <c r="I58" s="161" t="n">
        <v>1</v>
      </c>
      <c r="J58" s="161" t="n">
        <v>1</v>
      </c>
      <c r="K58" s="161" t="n">
        <v>1</v>
      </c>
      <c r="L58" s="161" t="n">
        <v>1</v>
      </c>
    </row>
    <row r="59" ht="15" customHeight="1" s="133">
      <c r="A59" s="146" t="inlineStr">
        <is>
          <t>Servus CU</t>
        </is>
      </c>
      <c r="B59" s="161" t="n">
        <v>0</v>
      </c>
      <c r="C59" s="161" t="n">
        <v>0</v>
      </c>
      <c r="D59" s="161" t="n">
        <v>0</v>
      </c>
      <c r="E59" s="161" t="n">
        <v>0</v>
      </c>
      <c r="F59" s="161" t="n">
        <v>0</v>
      </c>
      <c r="G59" s="161" t="n">
        <v>0.5</v>
      </c>
      <c r="H59" s="161" t="n">
        <v>1</v>
      </c>
      <c r="I59" s="161" t="n">
        <v>1</v>
      </c>
      <c r="J59" s="161" t="n">
        <v>1</v>
      </c>
      <c r="K59" s="161" t="n">
        <v>1</v>
      </c>
      <c r="L59" s="161" t="n">
        <v>1</v>
      </c>
    </row>
    <row r="61" ht="15" customHeight="1" s="133">
      <c r="A61" s="150" t="inlineStr">
        <is>
          <t>ADDITIONAL PARAMETERS</t>
        </is>
      </c>
      <c r="B61" s="150" t="n"/>
      <c r="C61" s="150" t="n"/>
      <c r="D61" s="150" t="n"/>
    </row>
    <row r="62" ht="15" customHeight="1" s="133">
      <c r="A62" s="146" t="inlineStr">
        <is>
          <t>Trading Volume % of Issuance</t>
        </is>
      </c>
      <c r="B62" s="152" t="n">
        <v>0.4</v>
      </c>
      <c r="C62" s="162" t="inlineStr">
        <is>
          <t>Trading Vol %</t>
        </is>
      </c>
    </row>
    <row r="63" ht="15" customHeight="1" s="133">
      <c r="A63" s="146" t="inlineStr">
        <is>
          <t>(reserved)</t>
        </is>
      </c>
      <c r="B63" s="163" t="n">
        <v>0</v>
      </c>
      <c r="C63" s="162" t="n"/>
    </row>
    <row r="65" ht="15" customHeight="1" s="133">
      <c r="A65" s="164" t="inlineStr">
        <is>
          <t>(reserved - TAM vertical removed)</t>
        </is>
      </c>
      <c r="B65" s="164" t="n"/>
      <c r="C65" s="164" t="n"/>
    </row>
    <row r="66" ht="15" customHeight="1" s="133">
      <c r="A66" s="144" t="n"/>
      <c r="B66" s="144" t="n"/>
      <c r="C66" s="144" t="n"/>
    </row>
    <row r="67" ht="15" customHeight="1" s="133">
      <c r="A67" s="146" t="n"/>
      <c r="B67" s="154" t="n"/>
      <c r="C67" s="158" t="n"/>
    </row>
    <row r="68" ht="15" customHeight="1" s="133">
      <c r="A68" s="146" t="n"/>
      <c r="B68" s="154" t="n"/>
      <c r="C68" s="158" t="n"/>
    </row>
    <row r="69" ht="15" customHeight="1" s="133">
      <c r="A69" s="146" t="n"/>
      <c r="B69" s="154" t="n"/>
      <c r="C69" s="158" t="n"/>
    </row>
    <row r="70" ht="15" customHeight="1" s="133">
      <c r="A70" s="146" t="n"/>
      <c r="B70" s="154" t="n"/>
      <c r="C70" s="158" t="n"/>
    </row>
    <row r="71" ht="15" customHeight="1" s="133">
      <c r="A71" s="146" t="n"/>
      <c r="B71" s="154" t="n"/>
      <c r="C71" s="158" t="n"/>
    </row>
    <row r="72" ht="15" customHeight="1" s="133">
      <c r="A72" s="146" t="n"/>
      <c r="B72" s="154" t="n"/>
      <c r="C72" s="158" t="n"/>
    </row>
    <row r="73" ht="15" customHeight="1" s="133">
      <c r="A73" s="146" t="n"/>
      <c r="B73" s="154" t="n"/>
      <c r="C73" s="158" t="n"/>
    </row>
    <row r="74" ht="15" customHeight="1" s="133">
      <c r="A74" s="146" t="n"/>
      <c r="B74" s="154" t="n"/>
      <c r="C74" s="158" t="n"/>
    </row>
    <row r="75" ht="15" customHeight="1" s="133">
      <c r="A75" s="146" t="n"/>
      <c r="B75" s="154" t="n"/>
      <c r="C75" s="158" t="n"/>
    </row>
    <row r="76" ht="15" customHeight="1" s="133">
      <c r="A76" s="146" t="n"/>
      <c r="B76" s="154" t="n"/>
      <c r="C76" s="158" t="n"/>
    </row>
    <row r="77" ht="15" customHeight="1" s="133">
      <c r="A77" s="146" t="n"/>
      <c r="B77" s="154" t="n"/>
      <c r="C77" s="158" t="n"/>
    </row>
    <row r="79" ht="15" customHeight="1" s="133">
      <c r="A79" s="165" t="inlineStr">
        <is>
          <t>M2 MONEY SUPPLY GROWTH SCENARIOS</t>
        </is>
      </c>
      <c r="B79" s="165" t="n"/>
      <c r="C79" s="165" t="n"/>
      <c r="D79" s="165" t="n"/>
      <c r="E79" s="165" t="n"/>
      <c r="F79" s="165" t="n"/>
    </row>
    <row r="80" ht="15" customHeight="1" s="133">
      <c r="A80" s="143" t="inlineStr">
        <is>
          <t>Canada M2 YoY growth (Jan 2026): 3.8%. ATB deposits grew 6.8% FY2025. Historical M2 correlation ~0.75 for ATB.</t>
        </is>
      </c>
    </row>
    <row r="81" ht="23.25" customHeight="1" s="133">
      <c r="A81" s="144" t="inlineStr">
        <is>
          <t>Scenario</t>
        </is>
      </c>
      <c r="B81" s="144" t="inlineStr">
        <is>
          <t>Annual Growth %</t>
        </is>
      </c>
      <c r="C81" s="144" t="inlineStr">
        <is>
          <t>M2 Basis</t>
        </is>
      </c>
      <c r="D81" s="144" t="inlineStr">
        <is>
          <t>FI Correlation</t>
        </is>
      </c>
      <c r="E81" s="144" t="inlineStr">
        <is>
          <t>Effective Rate</t>
        </is>
      </c>
      <c r="F81" s="144" t="inlineStr">
        <is>
          <t>Description</t>
        </is>
      </c>
    </row>
    <row r="82" ht="15" customHeight="1" s="133">
      <c r="A82" s="146" t="inlineStr">
        <is>
          <t>Bear Case (Low Inflation)</t>
        </is>
      </c>
      <c r="B82" s="152" t="n">
        <v>0.02</v>
      </c>
      <c r="C82" s="153" t="inlineStr">
        <is>
          <t>M2 &lt; 2%</t>
        </is>
      </c>
      <c r="D82" s="153" t="inlineStr">
        <is>
          <t>0.75</t>
        </is>
      </c>
      <c r="E82" s="166">
        <f>B82*D82</f>
        <v/>
      </c>
      <c r="F82" s="149" t="inlineStr">
        <is>
          <t>Bullish for citizens - unlikely given current trend</t>
        </is>
      </c>
    </row>
    <row r="83" ht="15" customHeight="1" s="133">
      <c r="A83" s="146" t="inlineStr">
        <is>
          <t>Base Case (Moderate)</t>
        </is>
      </c>
      <c r="B83" s="152" t="n">
        <v>0.057</v>
      </c>
      <c r="C83" s="153" t="inlineStr">
        <is>
          <t>M2 ~5.7%</t>
        </is>
      </c>
      <c r="D83" s="153" t="inlineStr">
        <is>
          <t>0.75</t>
        </is>
      </c>
      <c r="E83" s="166">
        <f>B83*D83</f>
        <v/>
      </c>
      <c r="F83" s="149" t="inlineStr">
        <is>
          <t>Historical average M2 expansion</t>
        </is>
      </c>
    </row>
    <row r="84" ht="15" customHeight="1" s="133">
      <c r="A84" s="146" t="inlineStr">
        <is>
          <t>Bull Case (High Inflation)</t>
        </is>
      </c>
      <c r="B84" s="152" t="n">
        <v>0.0985</v>
      </c>
      <c r="C84" s="153" t="inlineStr">
        <is>
          <t>M2 ~9.85%</t>
        </is>
      </c>
      <c r="D84" s="153" t="inlineStr">
        <is>
          <t>0.75</t>
        </is>
      </c>
      <c r="E84" s="166">
        <f>B84*D84</f>
        <v/>
      </c>
      <c r="F84" s="149" t="inlineStr">
        <is>
          <t>Bear for citizens - assessed as most likely scenario</t>
        </is>
      </c>
    </row>
    <row r="85" ht="15" customHeight="1" s="133">
      <c r="A85" s="146" t="inlineStr">
        <is>
          <t>Model Default (Conservative)</t>
        </is>
      </c>
      <c r="B85" s="152" t="n">
        <v>0.04</v>
      </c>
      <c r="C85" s="153" t="inlineStr">
        <is>
          <t>Below M2</t>
        </is>
      </c>
      <c r="D85" s="153" t="inlineStr">
        <is>
          <t>1.0</t>
        </is>
      </c>
      <c r="E85" s="166">
        <f>B85*D85</f>
        <v/>
      </c>
      <c r="F85" s="149" t="inlineStr">
        <is>
          <t>Current model assumption - below all M2 scenarios</t>
        </is>
      </c>
    </row>
    <row r="87" ht="15" customHeight="1" s="133">
      <c r="A87" s="145" t="inlineStr">
        <is>
          <t>PER-INSTITUTION M2-ADJUSTED GROWTH RATES</t>
        </is>
      </c>
      <c r="B87" s="145" t="n"/>
      <c r="C87" s="145" t="n"/>
      <c r="D87" s="145" t="n"/>
      <c r="E87" s="145" t="n"/>
      <c r="F87" s="145" t="n"/>
    </row>
    <row r="88" ht="15" customHeight="1" s="133">
      <c r="A88" s="143" t="inlineStr">
        <is>
          <t>Set each FI growth rate independently. Yellow cells override the global growth rate for that FI's revenue formulas.</t>
        </is>
      </c>
    </row>
    <row r="89" ht="34.5" customHeight="1" s="133">
      <c r="A89" s="144" t="inlineStr">
        <is>
          <t>Institution</t>
        </is>
      </c>
      <c r="B89" s="144" t="inlineStr">
        <is>
          <t>M2 Correlation</t>
        </is>
      </c>
      <c r="C89" s="144" t="inlineStr">
        <is>
          <t>Custom Growth Rate</t>
        </is>
      </c>
      <c r="D89" s="144" t="inlineStr">
        <is>
          <t>Use Custom? (1=Yes)</t>
        </is>
      </c>
      <c r="E89" s="144" t="inlineStr">
        <is>
          <t>Notes</t>
        </is>
      </c>
    </row>
    <row r="90" ht="15" customHeight="1" s="133">
      <c r="A90" s="146" t="inlineStr">
        <is>
          <t>ATB Financial</t>
        </is>
      </c>
      <c r="B90" s="159" t="n">
        <v>0.75</v>
      </c>
      <c r="C90" s="152" t="n">
        <v>0.068</v>
      </c>
      <c r="D90" s="160" t="n">
        <v>0</v>
      </c>
      <c r="E90" s="149" t="inlineStr">
        <is>
          <t>ATB FY2025 deposit growth was 6.8%. M2 corr ~0.75</t>
        </is>
      </c>
    </row>
    <row r="91" ht="15" customHeight="1" s="133">
      <c r="A91" s="146" t="inlineStr">
        <is>
          <t>Bow Valley CU</t>
        </is>
      </c>
      <c r="B91" s="159" t="n">
        <v>0.7</v>
      </c>
      <c r="C91" s="152" t="n">
        <v>0.055</v>
      </c>
      <c r="D91" s="160" t="n">
        <v>0</v>
      </c>
      <c r="E91" s="149" t="inlineStr">
        <is>
          <t>Small Alberta CU, moderate M2 correlation</t>
        </is>
      </c>
    </row>
    <row r="92" ht="15" customHeight="1" s="133">
      <c r="A92" s="146" t="inlineStr">
        <is>
          <t>Vancity CU</t>
        </is>
      </c>
      <c r="B92" s="159" t="n">
        <v>0.6</v>
      </c>
      <c r="C92" s="152" t="n">
        <v>0.045</v>
      </c>
      <c r="D92" s="160" t="n">
        <v>0</v>
      </c>
      <c r="E92" s="149" t="inlineStr">
        <is>
          <t>BC-based, different regional dynamics</t>
        </is>
      </c>
    </row>
    <row r="93" ht="15" customHeight="1" s="133">
      <c r="A93" s="146" t="inlineStr">
        <is>
          <t>Servus CU</t>
        </is>
      </c>
      <c r="B93" s="159" t="n">
        <v>0.65</v>
      </c>
      <c r="C93" s="152" t="n">
        <v>0.05</v>
      </c>
      <c r="D93" s="160" t="n">
        <v>0</v>
      </c>
      <c r="E93" s="149" t="inlineStr">
        <is>
          <t>Smaller institution, slightly lower M2 correlation</t>
        </is>
      </c>
    </row>
    <row r="95" ht="15" customHeight="1" s="133">
      <c r="A95" s="167" t="inlineStr">
        <is>
          <t>TOKENIZATION PENETRATION RAMP (% of FI Base Tokenized)</t>
        </is>
      </c>
      <c r="B95" s="167" t="n"/>
      <c r="C95" s="167" t="n"/>
      <c r="D95" s="167" t="n"/>
      <c r="E95" s="167" t="n"/>
      <c r="F95" s="167" t="n"/>
      <c r="G95" s="167" t="n"/>
      <c r="H95" s="167" t="n"/>
      <c r="I95" s="167" t="n"/>
      <c r="J95" s="167" t="n"/>
      <c r="K95" s="167" t="n"/>
      <c r="L95" s="167" t="n"/>
    </row>
    <row r="96" ht="15" customHeight="1" s="133">
      <c r="A96" s="143" t="inlineStr">
        <is>
          <t>Start conservative (1%), scale as platform matures. | JPM Kinexys: $1.5T+ processed, 10x YoY growth | BoC Project Samara: $100M tokenized bond pilot (Mar 2026) | McKinsey: 75% CAGR tokenized assets to $2-4T by 2030</t>
        </is>
      </c>
    </row>
    <row r="97" ht="15" customHeight="1" s="133">
      <c r="A97" s="144" t="inlineStr">
        <is>
          <t>Rate</t>
        </is>
      </c>
      <c r="B97" s="144" t="inlineStr">
        <is>
          <t>H2 2026</t>
        </is>
      </c>
      <c r="C97" s="144" t="inlineStr">
        <is>
          <t>H1 2027</t>
        </is>
      </c>
      <c r="D97" s="144" t="inlineStr">
        <is>
          <t>H2 2027</t>
        </is>
      </c>
      <c r="E97" s="144" t="inlineStr">
        <is>
          <t>H1 2028</t>
        </is>
      </c>
      <c r="F97" s="144" t="inlineStr">
        <is>
          <t>H2 2028</t>
        </is>
      </c>
      <c r="G97" s="144" t="inlineStr">
        <is>
          <t>H1 2029</t>
        </is>
      </c>
      <c r="H97" s="144" t="inlineStr">
        <is>
          <t>H2 2029</t>
        </is>
      </c>
      <c r="I97" s="144" t="inlineStr">
        <is>
          <t>H1 2030</t>
        </is>
      </c>
      <c r="J97" s="144" t="inlineStr">
        <is>
          <t>H2 2030</t>
        </is>
      </c>
      <c r="K97" s="144" t="inlineStr">
        <is>
          <t>H1 2031</t>
        </is>
      </c>
      <c r="L97" s="144" t="inlineStr">
        <is>
          <t>H2 2031</t>
        </is>
      </c>
    </row>
    <row r="98" ht="15" customHeight="1" s="133">
      <c r="A98" s="168" t="inlineStr">
        <is>
          <t>Deposit Tokenization %</t>
        </is>
      </c>
      <c r="B98" s="152" t="n">
        <v>0.01</v>
      </c>
      <c r="C98" s="152" t="n">
        <v>0.01</v>
      </c>
      <c r="D98" s="152" t="n">
        <v>0.01</v>
      </c>
      <c r="E98" s="152" t="n">
        <v>0.02</v>
      </c>
      <c r="F98" s="152" t="n">
        <v>0.02</v>
      </c>
      <c r="G98" s="152" t="n">
        <v>0.03</v>
      </c>
      <c r="H98" s="152" t="n">
        <v>0.03</v>
      </c>
      <c r="I98" s="152" t="n">
        <v>0.04</v>
      </c>
      <c r="J98" s="152" t="n">
        <v>0.04</v>
      </c>
      <c r="K98" s="152" t="n">
        <v>0.05</v>
      </c>
      <c r="L98" s="152" t="n">
        <v>0.05</v>
      </c>
    </row>
    <row r="99" ht="15" customHeight="1" s="133">
      <c r="A99" s="168" t="inlineStr">
        <is>
          <t>Issuance/Custody Tokenization %</t>
        </is>
      </c>
      <c r="B99" s="152" t="n">
        <v>0.015</v>
      </c>
      <c r="C99" s="152" t="n">
        <v>0.015</v>
      </c>
      <c r="D99" s="152" t="n">
        <v>0.015</v>
      </c>
      <c r="E99" s="152" t="n">
        <v>0.03</v>
      </c>
      <c r="F99" s="152" t="n">
        <v>0.03</v>
      </c>
      <c r="G99" s="152" t="n">
        <v>0.045</v>
      </c>
      <c r="H99" s="152" t="n">
        <v>0.045</v>
      </c>
      <c r="I99" s="152" t="n">
        <v>0.06</v>
      </c>
      <c r="J99" s="152" t="n">
        <v>0.06</v>
      </c>
      <c r="K99" s="152" t="n">
        <v>0.075</v>
      </c>
      <c r="L99" s="152" t="n">
        <v>0.075</v>
      </c>
    </row>
    <row r="100" ht="15" customHeight="1" s="133">
      <c r="A100" s="168" t="inlineStr">
        <is>
          <t>Use Ramp Schedule? (1=Ramp, 0=Flat)</t>
        </is>
      </c>
      <c r="B100" s="160" t="n">
        <v>1</v>
      </c>
      <c r="C100" s="169" t="inlineStr">
        <is>
          <t>If 0, uses flat rates from Macro Assumptions (B27=1%, B28=1.5%)</t>
        </is>
      </c>
    </row>
    <row r="102" ht="15" customHeight="1" s="133">
      <c r="A102" s="170" t="inlineStr">
        <is>
          <t>INDUSTRY TOKENIZATION BENCHMARKS</t>
        </is>
      </c>
      <c r="B102" s="170" t="n"/>
      <c r="C102" s="170" t="n"/>
      <c r="D102" s="170" t="n"/>
      <c r="E102" s="170" t="n"/>
      <c r="F102" s="170" t="n"/>
    </row>
    <row r="103" ht="15" customHeight="1" s="133">
      <c r="A103" s="144" t="inlineStr">
        <is>
          <t>Institution / Source</t>
        </is>
      </c>
      <c r="B103" s="144" t="inlineStr">
        <is>
          <t>Metric</t>
        </is>
      </c>
      <c r="C103" s="144" t="inlineStr">
        <is>
          <t>Value</t>
        </is>
      </c>
      <c r="D103" s="144" t="inlineStr">
        <is>
          <t>Date</t>
        </is>
      </c>
      <c r="E103" s="144" t="inlineStr">
        <is>
          <t>Relevance</t>
        </is>
      </c>
      <c r="F103" s="144" t="inlineStr">
        <is>
          <t>Source</t>
        </is>
      </c>
    </row>
    <row r="104" ht="53.25" customHeight="1" s="133">
      <c r="A104" s="171" t="inlineStr">
        <is>
          <t>JP Morgan Kinexys</t>
        </is>
      </c>
      <c r="B104" s="171" t="inlineStr">
        <is>
          <t>Total notional processed</t>
        </is>
      </c>
      <c r="C104" s="172" t="inlineStr">
        <is>
          <t>$1.5T+</t>
        </is>
      </c>
      <c r="D104" s="173" t="inlineStr">
        <is>
          <t>2025</t>
        </is>
      </c>
      <c r="E104" s="174" t="inlineStr">
        <is>
          <t>Proves institutional-scale tokenized deposit demand</t>
        </is>
      </c>
      <c r="F104" s="174" t="inlineStr">
        <is>
          <t>JPM Kinexys docs</t>
        </is>
      </c>
    </row>
    <row r="105" ht="42.75" customHeight="1" s="133">
      <c r="A105" s="146" t="inlineStr">
        <is>
          <t>JP Morgan Kinexys</t>
        </is>
      </c>
      <c r="B105" s="146" t="inlineStr">
        <is>
          <t>YoY payment growth</t>
        </is>
      </c>
      <c r="C105" s="175" t="inlineStr">
        <is>
          <t>10x</t>
        </is>
      </c>
      <c r="D105" s="176" t="inlineStr">
        <is>
          <t>2025</t>
        </is>
      </c>
      <c r="E105" s="177" t="inlineStr">
        <is>
          <t>Exponential adoption curve once platform live</t>
        </is>
      </c>
      <c r="F105" s="177" t="inlineStr">
        <is>
          <t>CoinDesk Dec 2025</t>
        </is>
      </c>
    </row>
    <row r="106" ht="42.75" customHeight="1" s="133">
      <c r="A106" s="171" t="inlineStr">
        <is>
          <t>Bank of Canada</t>
        </is>
      </c>
      <c r="B106" s="171" t="inlineStr">
        <is>
          <t>Project Samara pilot</t>
        </is>
      </c>
      <c r="C106" s="172" t="inlineStr">
        <is>
          <t>$100M bond</t>
        </is>
      </c>
      <c r="D106" s="173" t="inlineStr">
        <is>
          <t>Mar 2026</t>
        </is>
      </c>
      <c r="E106" s="174" t="inlineStr">
        <is>
          <t>BoC validating tokenization for Canadian market</t>
        </is>
      </c>
      <c r="F106" s="174" t="inlineStr">
        <is>
          <t>BoC announcement</t>
        </is>
      </c>
    </row>
    <row r="107" ht="32.25" customHeight="1" s="133">
      <c r="A107" s="146" t="inlineStr">
        <is>
          <t>McKinsey &amp; Co.</t>
        </is>
      </c>
      <c r="B107" s="146" t="inlineStr">
        <is>
          <t>Tokenized RWA forecast (base)</t>
        </is>
      </c>
      <c r="C107" s="175" t="inlineStr">
        <is>
          <t>$2T by 2030</t>
        </is>
      </c>
      <c r="D107" s="176" t="inlineStr">
        <is>
          <t>2024</t>
        </is>
      </c>
      <c r="E107" s="177" t="inlineStr">
        <is>
          <t>75% CAGR across asset classes</t>
        </is>
      </c>
      <c r="F107" s="177" t="inlineStr">
        <is>
          <t>McKinsey report</t>
        </is>
      </c>
    </row>
    <row r="108" ht="32.25" customHeight="1" s="133">
      <c r="A108" s="171" t="inlineStr">
        <is>
          <t>BCG + Ripple</t>
        </is>
      </c>
      <c r="B108" s="171" t="inlineStr">
        <is>
          <t>Tokenized RWA forecast</t>
        </is>
      </c>
      <c r="C108" s="172" t="inlineStr">
        <is>
          <t>$9.4T by 2030</t>
        </is>
      </c>
      <c r="D108" s="173" t="inlineStr">
        <is>
          <t>2025</t>
        </is>
      </c>
      <c r="E108" s="174" t="inlineStr">
        <is>
          <t>Broader adoption curve for all RWAs</t>
        </is>
      </c>
      <c r="F108" s="174" t="inlineStr">
        <is>
          <t>BCG/Ripple report</t>
        </is>
      </c>
    </row>
    <row r="109" ht="32.25" customHeight="1" s="133">
      <c r="A109" s="146" t="inlineStr">
        <is>
          <t>Jamie Dimon (JPM CEO)</t>
        </is>
      </c>
      <c r="B109" s="146" t="inlineStr">
        <is>
          <t>Strategic priority</t>
        </is>
      </c>
      <c r="C109" s="175" t="inlineStr">
        <is>
          <t>"Must move faster"</t>
        </is>
      </c>
      <c r="D109" s="176" t="inlineStr">
        <is>
          <t>Apr 2026</t>
        </is>
      </c>
      <c r="E109" s="177" t="inlineStr">
        <is>
          <t>CEO-level urgency on tokenization</t>
        </is>
      </c>
      <c r="F109" s="177" t="inlineStr">
        <is>
          <t>CoinDesk Apr 2026</t>
        </is>
      </c>
    </row>
    <row r="111" ht="15" customHeight="1" s="133">
      <c r="A111" s="178" t="inlineStr">
        <is>
          <t>NON-DILUTIVE CAPITAL / GRANTS</t>
        </is>
      </c>
      <c r="B111" s="178" t="n"/>
      <c r="C111" s="178" t="n"/>
      <c r="D111" s="178" t="n"/>
      <c r="E111" s="178" t="n"/>
      <c r="F111" s="178" t="n"/>
      <c r="G111" s="178" t="n"/>
      <c r="H111" s="178" t="n"/>
      <c r="I111" s="178" t="n"/>
      <c r="J111" s="178" t="n"/>
      <c r="K111" s="178" t="n"/>
      <c r="L111" s="178" t="n"/>
      <c r="M111" s="178" t="n"/>
    </row>
    <row r="112" ht="15" customHeight="1" s="133">
      <c r="A112" s="143" t="inlineStr">
        <is>
          <t>Toggle each grant ON/OFF (1/0). Edit funding amounts per semi-annual period. | Amounts flow into Summary and P&amp;L as non-dilutive income. | SR&amp;ED also appears as negative OpEx - this section is ADDITIVE for scenario modeling.</t>
        </is>
      </c>
    </row>
    <row r="113" ht="15" customHeight="1" s="133">
      <c r="A113" s="144" t="inlineStr">
        <is>
          <t>Grant Program</t>
        </is>
      </c>
      <c r="B113" s="144" t="inlineStr">
        <is>
          <t>Toggle (1=ON)</t>
        </is>
      </c>
      <c r="C113" s="144" t="inlineStr">
        <is>
          <t>Status</t>
        </is>
      </c>
      <c r="D113" s="144" t="inlineStr">
        <is>
          <t>Max Amount</t>
        </is>
      </c>
      <c r="E113" s="144" t="inlineStr">
        <is>
          <t>Notes</t>
        </is>
      </c>
    </row>
    <row r="114" ht="15" customHeight="1" s="133">
      <c r="A114" s="146" t="inlineStr">
        <is>
          <t>Alberta Innovates FinTech Sandbox</t>
        </is>
      </c>
      <c r="B114" s="147" t="n">
        <v>1</v>
      </c>
      <c r="C114" s="148">
        <f>IF(B114=1,"ON","OFF")</f>
        <v/>
      </c>
      <c r="D114" s="175" t="inlineStr">
        <is>
          <t>$250K</t>
        </is>
      </c>
      <c r="E114" s="149" t="inlineStr">
        <is>
          <t>Provincial - regulated pilot programs, sandbox deployment, compliance testing</t>
        </is>
      </c>
    </row>
    <row r="115" ht="15" customHeight="1" s="133">
      <c r="A115" s="146" t="inlineStr">
        <is>
          <t>NRC IRAP (Industrial Research Assistance)</t>
        </is>
      </c>
      <c r="B115" s="147" t="n">
        <v>1</v>
      </c>
      <c r="C115" s="148">
        <f>IF(B115=1,"ON","OFF")</f>
        <v/>
      </c>
      <c r="D115" s="175" t="inlineStr">
        <is>
          <t>$500K+</t>
        </is>
      </c>
      <c r="E115" s="149" t="inlineStr">
        <is>
          <t>Federal - core R&amp;D, security architecture, custody integration. 4 streams incl Innovation Assist</t>
        </is>
      </c>
    </row>
    <row r="116" ht="15" customHeight="1" s="133">
      <c r="A116" s="146" t="inlineStr">
        <is>
          <t>SR&amp;ED Tax Credits (35% of R&amp;D)</t>
        </is>
      </c>
      <c r="B116" s="147" t="n">
        <v>1</v>
      </c>
      <c r="C116" s="148">
        <f>IF(B116=1,"ON","OFF")</f>
        <v/>
      </c>
      <c r="D116" s="175" t="inlineStr">
        <is>
          <t>~35% R&amp;D</t>
        </is>
      </c>
      <c r="E116" s="149" t="inlineStr">
        <is>
          <t>Federal - smart contract dev, settlement systems, tokenization infra. $6M limit (2026 expansion)</t>
        </is>
      </c>
    </row>
    <row r="117" ht="15" customHeight="1" s="133">
      <c r="A117" s="146" t="inlineStr">
        <is>
          <t>Digital Supercluster</t>
        </is>
      </c>
      <c r="B117" s="147" t="n">
        <v>1</v>
      </c>
      <c r="C117" s="148">
        <f>IF(B117=1,"ON","OFF")</f>
        <v/>
      </c>
      <c r="D117" s="175" t="inlineStr">
        <is>
          <t>Multi-$M</t>
        </is>
      </c>
      <c r="E117" s="149" t="inlineStr">
        <is>
          <t>Federal/Private partnership - institutional fintech, large-scale infrastructure pilots</t>
        </is>
      </c>
    </row>
    <row r="118" ht="15" customHeight="1" s="133">
      <c r="A118" s="146" t="inlineStr">
        <is>
          <t>Innovative Solutions Canada</t>
        </is>
      </c>
      <c r="B118" s="147" t="n">
        <v>1</v>
      </c>
      <c r="C118" s="148">
        <f>IF(B118=1,"ON","OFF")</f>
        <v/>
      </c>
      <c r="D118" s="175" t="inlineStr">
        <is>
          <t>$150K-$1M</t>
        </is>
      </c>
      <c r="E118" s="149" t="inlineStr">
        <is>
          <t>Federal - settlement modernization challenges, public-sector infra pilots (challenge-based)</t>
        </is>
      </c>
    </row>
    <row r="119" ht="15" customHeight="1" s="133">
      <c r="A119" s="146" t="inlineStr">
        <is>
          <t>PrairiesCan (Regional Development)</t>
        </is>
      </c>
      <c r="B119" s="147" t="n">
        <v>1</v>
      </c>
      <c r="C119" s="148">
        <f>IF(B119=1,"ON","OFF")</f>
        <v/>
      </c>
      <c r="D119" s="175" t="inlineStr">
        <is>
          <t>$50K-$500K</t>
        </is>
      </c>
      <c r="E119" s="149" t="inlineStr">
        <is>
          <t>Federal - Prairies Economic Development Canada, innovation + growth funding for Alberta startups</t>
        </is>
      </c>
    </row>
    <row r="120" ht="15" customHeight="1" s="133">
      <c r="A120" s="146" t="inlineStr">
        <is>
          <t>Mitacs Business Strategy Internship</t>
        </is>
      </c>
      <c r="B120" s="147" t="n">
        <v>1</v>
      </c>
      <c r="C120" s="148">
        <f>IF(B120=1,"ON","OFF")</f>
        <v/>
      </c>
      <c r="D120" s="175" t="inlineStr">
        <is>
          <t>$15K-$60K</t>
        </is>
      </c>
      <c r="E120" s="149" t="inlineStr">
        <is>
          <t>Federal - subsidized R&amp;D talent, 4-12 month terms, pairs with IRAP</t>
        </is>
      </c>
    </row>
    <row r="121" ht="15" customHeight="1" s="133">
      <c r="A121" s="146" t="inlineStr">
        <is>
          <t>Alberta Enterprise Accelerate Fund IV</t>
        </is>
      </c>
      <c r="B121" s="147" t="n">
        <v>0</v>
      </c>
      <c r="C121" s="148">
        <f>IF(B121=1,"ON","OFF")</f>
        <v/>
      </c>
      <c r="D121" s="175" t="inlineStr">
        <is>
          <t>Co-invest</t>
        </is>
      </c>
      <c r="E121" s="149" t="inlineStr">
        <is>
          <t>Provincial - $25M fund for pre-seed/seed Alberta tech. Co-invest model (equity component - toggle OFF by default)</t>
        </is>
      </c>
    </row>
    <row r="123" ht="15" customHeight="1" s="133">
      <c r="A123" s="178" t="inlineStr">
        <is>
          <t>GRANT FUNDING SCHEDULE (Semi-Annual - Editable)</t>
        </is>
      </c>
      <c r="B123" s="178" t="n"/>
      <c r="C123" s="178" t="n"/>
      <c r="D123" s="178" t="n"/>
      <c r="E123" s="178" t="n"/>
      <c r="F123" s="178" t="n"/>
      <c r="G123" s="178" t="n"/>
      <c r="H123" s="178" t="n"/>
      <c r="I123" s="178" t="n"/>
      <c r="J123" s="178" t="n"/>
      <c r="K123" s="178" t="n"/>
      <c r="L123" s="178" t="n"/>
      <c r="M123" s="178" t="n"/>
    </row>
    <row r="124" ht="15" customHeight="1" s="133">
      <c r="A124" s="143" t="inlineStr">
        <is>
          <t>Enter expected funding per semi-annual period. Total row auto-sums. | Only grants toggled ON flow into P&amp;L. Yellow cells = editable.</t>
        </is>
      </c>
    </row>
    <row r="125" ht="15" customHeight="1" s="133">
      <c r="A125" s="144" t="inlineStr">
        <is>
          <t>Grant Program</t>
        </is>
      </c>
      <c r="B125" s="144" t="inlineStr">
        <is>
          <t>Toggle Ref</t>
        </is>
      </c>
      <c r="C125" s="144" t="inlineStr">
        <is>
          <t>H2 2026</t>
        </is>
      </c>
      <c r="D125" s="144" t="inlineStr">
        <is>
          <t>H1 2027</t>
        </is>
      </c>
      <c r="E125" s="144" t="inlineStr">
        <is>
          <t>H2 2027</t>
        </is>
      </c>
      <c r="F125" s="144" t="inlineStr">
        <is>
          <t>H1 2028</t>
        </is>
      </c>
      <c r="G125" s="144" t="inlineStr">
        <is>
          <t>H2 2028</t>
        </is>
      </c>
      <c r="H125" s="144" t="inlineStr">
        <is>
          <t>H1 2029</t>
        </is>
      </c>
      <c r="I125" s="144" t="inlineStr">
        <is>
          <t>H2 2029</t>
        </is>
      </c>
      <c r="J125" s="144" t="inlineStr">
        <is>
          <t>H1 2030</t>
        </is>
      </c>
      <c r="K125" s="144" t="inlineStr">
        <is>
          <t>H2 2030</t>
        </is>
      </c>
      <c r="L125" s="144" t="inlineStr">
        <is>
          <t>H1 2031</t>
        </is>
      </c>
      <c r="M125" s="144" t="inlineStr">
        <is>
          <t>H2 2031</t>
        </is>
      </c>
      <c r="N125" s="144" t="inlineStr">
        <is>
          <t>5-Year Total</t>
        </is>
      </c>
    </row>
    <row r="126" ht="15" customHeight="1" s="133">
      <c r="A126" s="146" t="inlineStr">
        <is>
          <t>Alberta Innovates FinTech Sandbox</t>
        </is>
      </c>
      <c r="B126" s="176">
        <f>IF(B114=1,"ON","OFF")</f>
        <v/>
      </c>
      <c r="C126" s="156" t="n">
        <v>0</v>
      </c>
      <c r="D126" s="156" t="n">
        <v>50000</v>
      </c>
      <c r="E126" s="156" t="n">
        <v>50000</v>
      </c>
      <c r="F126" s="156" t="n">
        <v>50000</v>
      </c>
      <c r="G126" s="156" t="n">
        <v>50000</v>
      </c>
      <c r="H126" s="156" t="n">
        <v>25000</v>
      </c>
      <c r="I126" s="156" t="n">
        <v>25000</v>
      </c>
      <c r="J126" s="156" t="n">
        <v>0</v>
      </c>
      <c r="K126" s="156" t="n">
        <v>0</v>
      </c>
      <c r="L126" s="156" t="n">
        <v>0</v>
      </c>
      <c r="M126" s="156" t="n">
        <v>0</v>
      </c>
      <c r="N126" s="179">
        <f>SUM(C126:M126)</f>
        <v/>
      </c>
    </row>
    <row r="127" ht="15" customHeight="1" s="133">
      <c r="A127" s="146" t="inlineStr">
        <is>
          <t>NRC IRAP</t>
        </is>
      </c>
      <c r="B127" s="176">
        <f>IF(B115=1,"ON","OFF")</f>
        <v/>
      </c>
      <c r="C127" s="156" t="n">
        <v>0</v>
      </c>
      <c r="D127" s="156" t="n">
        <v>75000</v>
      </c>
      <c r="E127" s="156" t="n">
        <v>75000</v>
      </c>
      <c r="F127" s="156" t="n">
        <v>100000</v>
      </c>
      <c r="G127" s="156" t="n">
        <v>100000</v>
      </c>
      <c r="H127" s="156" t="n">
        <v>75000</v>
      </c>
      <c r="I127" s="156" t="n">
        <v>75000</v>
      </c>
      <c r="J127" s="156" t="n">
        <v>0</v>
      </c>
      <c r="K127" s="156" t="n">
        <v>0</v>
      </c>
      <c r="L127" s="156" t="n">
        <v>0</v>
      </c>
      <c r="M127" s="156" t="n">
        <v>0</v>
      </c>
      <c r="N127" s="179">
        <f>SUM(C127:M127)</f>
        <v/>
      </c>
    </row>
    <row r="128" ht="15" customHeight="1" s="133">
      <c r="A128" s="146" t="inlineStr">
        <is>
          <t>SR&amp;ED Tax Credits</t>
        </is>
      </c>
      <c r="B128" s="176">
        <f>IF(B116=1,"ON","OFF")</f>
        <v/>
      </c>
      <c r="C128" s="156" t="n">
        <v>0</v>
      </c>
      <c r="D128" s="156" t="n">
        <v>0</v>
      </c>
      <c r="E128" s="156" t="n">
        <v>30000</v>
      </c>
      <c r="F128" s="156" t="n">
        <v>35000</v>
      </c>
      <c r="G128" s="156" t="n">
        <v>40000</v>
      </c>
      <c r="H128" s="156" t="n">
        <v>45000</v>
      </c>
      <c r="I128" s="156" t="n">
        <v>50000</v>
      </c>
      <c r="J128" s="156" t="n">
        <v>55000</v>
      </c>
      <c r="K128" s="156" t="n">
        <v>55000</v>
      </c>
      <c r="L128" s="156" t="n">
        <v>60000</v>
      </c>
      <c r="M128" s="156" t="n">
        <v>60000</v>
      </c>
      <c r="N128" s="179">
        <f>SUM(C128:M128)</f>
        <v/>
      </c>
    </row>
    <row r="129" ht="15" customHeight="1" s="133">
      <c r="A129" s="146" t="inlineStr">
        <is>
          <t>Digital Supercluster</t>
        </is>
      </c>
      <c r="B129" s="176">
        <f>IF(B117=1,"ON","OFF")</f>
        <v/>
      </c>
      <c r="C129" s="156" t="n">
        <v>0</v>
      </c>
      <c r="D129" s="156" t="n">
        <v>0</v>
      </c>
      <c r="E129" s="156" t="n">
        <v>0</v>
      </c>
      <c r="F129" s="156" t="n">
        <v>0</v>
      </c>
      <c r="G129" s="156" t="n">
        <v>125000</v>
      </c>
      <c r="H129" s="156" t="n">
        <v>125000</v>
      </c>
      <c r="I129" s="156" t="n">
        <v>125000</v>
      </c>
      <c r="J129" s="156" t="n">
        <v>125000</v>
      </c>
      <c r="K129" s="156" t="n">
        <v>0</v>
      </c>
      <c r="L129" s="156" t="n">
        <v>0</v>
      </c>
      <c r="M129" s="156" t="n">
        <v>0</v>
      </c>
      <c r="N129" s="179">
        <f>SUM(C129:M129)</f>
        <v/>
      </c>
    </row>
    <row r="130" ht="15" customHeight="1" s="133">
      <c r="A130" s="146" t="inlineStr">
        <is>
          <t>Innovative Solutions Canada</t>
        </is>
      </c>
      <c r="B130" s="176">
        <f>IF(B118=1,"ON","OFF")</f>
        <v/>
      </c>
      <c r="C130" s="156" t="n">
        <v>0</v>
      </c>
      <c r="D130" s="156" t="n">
        <v>0</v>
      </c>
      <c r="E130" s="156" t="n">
        <v>0</v>
      </c>
      <c r="F130" s="156" t="n">
        <v>75000</v>
      </c>
      <c r="G130" s="156" t="n">
        <v>75000</v>
      </c>
      <c r="H130" s="156" t="n">
        <v>0</v>
      </c>
      <c r="I130" s="156" t="n">
        <v>0</v>
      </c>
      <c r="J130" s="156" t="n">
        <v>0</v>
      </c>
      <c r="K130" s="156" t="n">
        <v>0</v>
      </c>
      <c r="L130" s="156" t="n">
        <v>0</v>
      </c>
      <c r="M130" s="156" t="n">
        <v>0</v>
      </c>
      <c r="N130" s="179">
        <f>SUM(C130:M130)</f>
        <v/>
      </c>
    </row>
    <row r="131" ht="15" customHeight="1" s="133">
      <c r="A131" s="146" t="inlineStr">
        <is>
          <t>PrairiesCan</t>
        </is>
      </c>
      <c r="B131" s="176">
        <f>IF(B119=1,"ON","OFF")</f>
        <v/>
      </c>
      <c r="C131" s="156" t="n">
        <v>0</v>
      </c>
      <c r="D131" s="156" t="n">
        <v>0</v>
      </c>
      <c r="E131" s="156" t="n">
        <v>50000</v>
      </c>
      <c r="F131" s="156" t="n">
        <v>50000</v>
      </c>
      <c r="G131" s="156" t="n">
        <v>50000</v>
      </c>
      <c r="H131" s="156" t="n">
        <v>50000</v>
      </c>
      <c r="I131" s="156" t="n">
        <v>50000</v>
      </c>
      <c r="J131" s="156" t="n">
        <v>0</v>
      </c>
      <c r="K131" s="156" t="n">
        <v>0</v>
      </c>
      <c r="L131" s="156" t="n">
        <v>0</v>
      </c>
      <c r="M131" s="156" t="n">
        <v>0</v>
      </c>
      <c r="N131" s="179">
        <f>SUM(C131:M131)</f>
        <v/>
      </c>
    </row>
    <row r="132" ht="15" customHeight="1" s="133">
      <c r="A132" s="146" t="inlineStr">
        <is>
          <t>Mitacs</t>
        </is>
      </c>
      <c r="B132" s="176">
        <f>IF(B120=1,"ON","OFF")</f>
        <v/>
      </c>
      <c r="C132" s="156" t="n">
        <v>0</v>
      </c>
      <c r="D132" s="156" t="n">
        <v>15000</v>
      </c>
      <c r="E132" s="156" t="n">
        <v>15000</v>
      </c>
      <c r="F132" s="156" t="n">
        <v>15000</v>
      </c>
      <c r="G132" s="156" t="n">
        <v>15000</v>
      </c>
      <c r="H132" s="156" t="n">
        <v>15000</v>
      </c>
      <c r="I132" s="156" t="n">
        <v>15000</v>
      </c>
      <c r="J132" s="156" t="n">
        <v>15000</v>
      </c>
      <c r="K132" s="156" t="n">
        <v>15000</v>
      </c>
      <c r="L132" s="156" t="n">
        <v>15000</v>
      </c>
      <c r="M132" s="156" t="n">
        <v>15000</v>
      </c>
      <c r="N132" s="179">
        <f>SUM(C132:M132)</f>
        <v/>
      </c>
    </row>
    <row r="133" ht="15" customHeight="1" s="133">
      <c r="A133" s="146" t="inlineStr">
        <is>
          <t>Alberta Enterprise Accelerate Fund IV</t>
        </is>
      </c>
      <c r="B133" s="176">
        <f>IF(B121=1,"ON","OFF")</f>
        <v/>
      </c>
      <c r="C133" s="156" t="n">
        <v>0</v>
      </c>
      <c r="D133" s="156" t="n">
        <v>0</v>
      </c>
      <c r="E133" s="156" t="n">
        <v>0</v>
      </c>
      <c r="F133" s="156" t="n">
        <v>0</v>
      </c>
      <c r="G133" s="156" t="n">
        <v>0</v>
      </c>
      <c r="H133" s="156" t="n">
        <v>0</v>
      </c>
      <c r="I133" s="156" t="n">
        <v>0</v>
      </c>
      <c r="J133" s="156" t="n">
        <v>0</v>
      </c>
      <c r="K133" s="156" t="n">
        <v>0</v>
      </c>
      <c r="L133" s="156" t="n">
        <v>0</v>
      </c>
      <c r="M133" s="156" t="n">
        <v>0</v>
      </c>
      <c r="N133" s="179">
        <f>SUM(C133:M133)</f>
        <v/>
      </c>
    </row>
    <row r="134" ht="15" customHeight="1" s="133">
      <c r="A134" s="168" t="inlineStr">
        <is>
          <t>TOTAL NON-DILUTIVE CAPITAL (Toggled ON)</t>
        </is>
      </c>
      <c r="B134" s="180" t="n"/>
      <c r="C134" s="181">
        <f>C126*$B$114+C127*$B$115+C128*$B$116+C129*$B$117+C130*$B$118+C131*$B$119+C132*$B$120+C133*$B$121</f>
        <v/>
      </c>
      <c r="D134" s="181">
        <f>D126*$B$114+D127*$B$115+D128*$B$116+D129*$B$117+D130*$B$118+D131*$B$119+D132*$B$120+D133*$B$121</f>
        <v/>
      </c>
      <c r="E134" s="181">
        <f>E126*$B$114+E127*$B$115+E128*$B$116+E129*$B$117+E130*$B$118+E131*$B$119+E132*$B$120+E133*$B$121</f>
        <v/>
      </c>
      <c r="F134" s="181">
        <f>F126*$B$114+F127*$B$115+F128*$B$116+F129*$B$117+F130*$B$118+F131*$B$119+F132*$B$120+F133*$B$121</f>
        <v/>
      </c>
      <c r="G134" s="181">
        <f>G126*$B$114+G127*$B$115+G128*$B$116+G129*$B$117+G130*$B$118+G131*$B$119+G132*$B$120+G133*$B$121</f>
        <v/>
      </c>
      <c r="H134" s="181">
        <f>H126*$B$114+H127*$B$115+H128*$B$116+H129*$B$117+H130*$B$118+H131*$B$119+H132*$B$120+H133*$B$121</f>
        <v/>
      </c>
      <c r="I134" s="181">
        <f>I126*$B$114+I127*$B$115+I128*$B$116+I129*$B$117+I130*$B$118+I131*$B$119+I132*$B$120+I133*$B$121</f>
        <v/>
      </c>
      <c r="J134" s="181">
        <f>J126*$B$114+J127*$B$115+J128*$B$116+J129*$B$117+J130*$B$118+J131*$B$119+J132*$B$120+J133*$B$121</f>
        <v/>
      </c>
      <c r="K134" s="181">
        <f>K126*$B$114+K127*$B$115+K128*$B$116+K129*$B$117+K130*$B$118+K131*$B$119+K132*$B$120+K133*$B$121</f>
        <v/>
      </c>
      <c r="L134" s="181">
        <f>L126*$B$114+L127*$B$115+L128*$B$116+L129*$B$117+L130*$B$118+L131*$B$119+L132*$B$120+L133*$B$121</f>
        <v/>
      </c>
      <c r="M134" s="181">
        <f>M126*$B$114+M127*$B$115+M128*$B$116+M129*$B$117+M130*$B$118+M131*$B$119+M132*$B$120+M133*$B$121</f>
        <v/>
      </c>
      <c r="N134" s="181">
        <f>SUM(C134:M134)</f>
        <v/>
      </c>
    </row>
    <row r="136" ht="15" customHeight="1" s="133">
      <c r="A136" s="182" t="inlineStr">
        <is>
          <t>(RESERVED) 6TH REVENUE STREAM - PLACEHOLDER (currently OFF)</t>
        </is>
      </c>
      <c r="B136" s="183" t="n"/>
      <c r="C136" s="183" t="n"/>
      <c r="D136" s="183" t="n"/>
      <c r="E136" s="183" t="n"/>
      <c r="F136" s="183" t="n"/>
    </row>
    <row r="137" ht="15" customHeight="1" s="133">
      <c r="A137" s="184" t="inlineStr">
        <is>
          <t>Reserved 6th stream toggle; currently OFF. Do not include in headline forecasts. Reserved for future gainshare or value-based pricing arrangements.</t>
        </is>
      </c>
    </row>
    <row r="138" ht="15" customHeight="1" s="133">
      <c r="A138" s="185" t="inlineStr">
        <is>
          <t>Savings-Share Vertical</t>
        </is>
      </c>
      <c r="B138" s="186" t="n">
        <v>0</v>
      </c>
      <c r="C138" s="131">
        <f>IF(B138=1,"ON","OFF")</f>
        <v/>
      </c>
      <c r="D138" s="131" t="inlineStr">
        <is>
          <t>Toggle the whole stream ON/OFF - flows to Revenue Model, P&amp;L, Summary</t>
        </is>
      </c>
    </row>
    <row r="139" ht="15" customHeight="1" s="133">
      <c r="A139" s="185" t="inlineStr">
        <is>
          <t>4ORM Capture Rate (% of verified savings)</t>
        </is>
      </c>
      <c r="B139" s="187" t="n">
        <v>0.25</v>
      </c>
      <c r="D139" s="131" t="inlineStr">
        <is>
          <t>Gainshare pricing - value-based contracts typically run 20-30% of verified savings. Editable.</t>
        </is>
      </c>
    </row>
    <row r="140" ht="15" customHeight="1" s="133">
      <c r="A140" s="185" t="inlineStr">
        <is>
          <t>(placeholder - not in use)</t>
        </is>
      </c>
      <c r="B140" s="188" t="n">
        <v>1025538</v>
      </c>
      <c r="D140" s="184" t="inlineStr">
        <is>
          <t>Source: 4orm Per-Institution Conservative Savings workbook (June 2026) - 7 categories: compliance labour, recon, cheques, correspondent fees, overnight fees, trapped liquidity, KYC duplication</t>
        </is>
      </c>
    </row>
    <row r="141" ht="15" customHeight="1" s="133">
      <c r="A141" s="185" t="inlineStr">
        <is>
          <t>(placeholder - not in use)</t>
        </is>
      </c>
      <c r="B141" s="188" t="n">
        <v>24320</v>
      </c>
      <c r="D141" s="184" t="inlineStr">
        <is>
          <t>Source: 4orm Per-Institution Conservative Savings workbook (June 2026) - 7 categories: compliance labour, recon, cheques, correspondent fees, overnight fees, trapped liquidity, KYC duplication</t>
        </is>
      </c>
    </row>
    <row r="142" ht="15" customHeight="1" s="133">
      <c r="A142" s="185" t="inlineStr">
        <is>
          <t>(placeholder - not in use)</t>
        </is>
      </c>
      <c r="B142" s="188" t="n">
        <v>659487</v>
      </c>
      <c r="D142" s="184" t="inlineStr">
        <is>
          <t>Source: 4orm Per-Institution Conservative Savings workbook (June 2026) - 7 categories: compliance labour, recon, cheques, correspondent fees, overnight fees, trapped liquidity, KYC duplication</t>
        </is>
      </c>
    </row>
    <row r="143" ht="15" customHeight="1" s="133">
      <c r="A143" s="185" t="inlineStr">
        <is>
          <t>(placeholder - not in use)</t>
        </is>
      </c>
      <c r="B143" s="188" t="n">
        <v>682708</v>
      </c>
      <c r="D143" s="184" t="inlineStr">
        <is>
          <t>Source: 4orm Per-Institution Conservative Savings workbook (June 2026) - 7 categories: compliance labour, recon, cheques, correspondent fees, overnight fees, trapped liquidity, KYC duplication</t>
        </is>
      </c>
    </row>
    <row r="144" ht="15" customHeight="1" s="133">
      <c r="A144" s="185" t="inlineStr">
        <is>
          <t>(placeholder - not in use)</t>
        </is>
      </c>
      <c r="B144" s="189" t="n">
        <v>20330371</v>
      </c>
      <c r="D144" s="184" t="inlineStr">
        <is>
          <t>Grand total, conservative model: T1 $16.1M + T2 $2.9M + T3 $1.3M per year</t>
        </is>
      </c>
    </row>
    <row r="146">
      <c r="A146" s="267" t="inlineStr">
        <is>
          <t>PHASE 1 (PRE-SEED) INPUTS</t>
        </is>
      </c>
    </row>
    <row r="147">
      <c r="A147" s="266" t="inlineStr">
        <is>
          <t>Pre-Seed Raise Target (CAD)</t>
        </is>
      </c>
      <c r="B147" s="268" t="n">
        <v>3000000</v>
      </c>
    </row>
    <row r="148">
      <c r="A148" s="266" t="inlineStr">
        <is>
          <t>Pre-Seed Pre-Money Valuation (CAD)</t>
        </is>
      </c>
      <c r="B148" s="268" t="n">
        <v>10000000</v>
      </c>
    </row>
    <row r="149">
      <c r="A149" s="266" t="inlineStr">
        <is>
          <t>Runway (months)</t>
        </is>
      </c>
      <c r="B149" s="268" t="n">
        <v>15</v>
      </c>
    </row>
    <row r="150">
      <c r="A150" s="266" t="inlineStr">
        <is>
          <t>Reserve %</t>
        </is>
      </c>
      <c r="B150" s="268" t="n">
        <v>0.25</v>
      </c>
    </row>
    <row r="151">
      <c r="A151" s="266" t="inlineStr">
        <is>
          <t>Fractional CFO monthly (CAD)</t>
        </is>
      </c>
      <c r="B151" s="268" t="n">
        <v>6000</v>
      </c>
    </row>
    <row r="152">
      <c r="A152" s="266" t="inlineStr">
        <is>
          <t>Bruce advisor retainer monthly (CAD)</t>
        </is>
      </c>
      <c r="B152" s="268" t="n">
        <v>6000</v>
      </c>
    </row>
    <row r="153">
      <c r="A153" s="266" t="inlineStr">
        <is>
          <t>Dean advisor retainer monthly (CAD)</t>
        </is>
      </c>
      <c r="B153" s="268" t="n">
        <v>5000</v>
      </c>
    </row>
    <row r="154">
      <c r="A154" s="266" t="inlineStr">
        <is>
          <t>Kevin CMO monthly (CAD)</t>
        </is>
      </c>
      <c r="B154" s="268" t="n">
        <v>4000</v>
      </c>
    </row>
    <row r="155">
      <c r="A155" s="266" t="inlineStr">
        <is>
          <t>Chad CEO post-close monthly (CAD)</t>
        </is>
      </c>
      <c r="B155" s="268" t="n">
        <v>8000</v>
      </c>
    </row>
    <row r="156">
      <c r="A156" s="131" t="inlineStr">
        <is>
          <t>CTO monthly (CAD)</t>
        </is>
      </c>
      <c r="B156" s="131" t="n">
        <v>15000</v>
      </c>
    </row>
    <row r="157">
      <c r="A157" s="267" t="inlineStr">
        <is>
          <t>SEED ROUND INPUTS</t>
        </is>
      </c>
    </row>
    <row r="158">
      <c r="A158" s="266" t="inlineStr">
        <is>
          <t>Seed Base Case Raise (CAD)</t>
        </is>
      </c>
      <c r="B158" s="268" t="n">
        <v>15000000</v>
      </c>
    </row>
    <row r="159">
      <c r="A159" s="266" t="inlineStr">
        <is>
          <t>Seed Pre-Money Base (CAD)</t>
        </is>
      </c>
      <c r="B159" s="268" t="n">
        <v>30000000</v>
      </c>
    </row>
    <row r="160">
      <c r="A160" s="266" t="inlineStr">
        <is>
          <t>Seed Runway (months)</t>
        </is>
      </c>
      <c r="B160" s="268" t="n">
        <v>24</v>
      </c>
    </row>
    <row r="161">
      <c r="A161" s="266" t="inlineStr">
        <is>
          <t>Product-in-Market target (months from Seed close)</t>
        </is>
      </c>
      <c r="B161" s="268" t="n">
        <v>15</v>
      </c>
    </row>
    <row r="163">
      <c r="A163" s="291" t="inlineStr">
        <is>
          <t>SPEER PAYMENT SCHEDULE (Sept 1 2026 start)</t>
        </is>
      </c>
    </row>
    <row r="164">
      <c r="A164" s="131" t="inlineStr">
        <is>
          <t>Payment</t>
        </is>
      </c>
      <c r="B164" s="131" t="inlineStr">
        <is>
          <t>Amount (CAD)</t>
        </is>
      </c>
      <c r="C164" s="131" t="inlineStr">
        <is>
          <t>Timing</t>
        </is>
      </c>
    </row>
    <row r="165">
      <c r="A165" s="131" t="inlineStr">
        <is>
          <t>Deposit (25%)</t>
        </is>
      </c>
      <c r="B165" s="131" t="n">
        <v>79326</v>
      </c>
      <c r="C165" s="131" t="inlineStr">
        <is>
          <t>Sept 1, 2026</t>
        </is>
      </c>
    </row>
    <row r="166">
      <c r="A166" s="131" t="inlineStr">
        <is>
          <t>Monthly installments (12)</t>
        </is>
      </c>
      <c r="B166" s="131" t="n">
        <v>19831.5</v>
      </c>
      <c r="C166" s="131" t="inlineStr">
        <is>
          <t>Oct 2026 - Sept 2027</t>
        </is>
      </c>
    </row>
    <row r="167">
      <c r="A167" s="131" t="inlineStr">
        <is>
          <t>Total contract</t>
        </is>
      </c>
      <c r="B167" s="131" t="n">
        <v>317304</v>
      </c>
      <c r="C167" s="131" t="inlineStr">
        <is>
          <t>Includes 13% HST ($36,504)</t>
        </is>
      </c>
    </row>
    <row r="169">
      <c r="A169" s="291" t="inlineStr">
        <is>
          <t>SPEER SEMI-ANNUAL CASH FLOW</t>
        </is>
      </c>
    </row>
    <row r="170">
      <c r="A170" s="131" t="inlineStr">
        <is>
          <t>Period</t>
        </is>
      </c>
      <c r="B170" s="131" t="inlineStr">
        <is>
          <t>Cash Out (CAD)</t>
        </is>
      </c>
    </row>
    <row r="171">
      <c r="A171" s="131" t="inlineStr">
        <is>
          <t>H2 2026</t>
        </is>
      </c>
      <c r="B171" s="131" t="n">
        <v>138820.5</v>
      </c>
    </row>
    <row r="172">
      <c r="A172" s="131" t="inlineStr">
        <is>
          <t>H1 2027</t>
        </is>
      </c>
      <c r="B172" s="131" t="n">
        <v>118989</v>
      </c>
    </row>
    <row r="173">
      <c r="A173" s="131" t="inlineStr">
        <is>
          <t>H2 2027</t>
        </is>
      </c>
      <c r="B173" s="131" t="n">
        <v>59494.5</v>
      </c>
    </row>
    <row r="174">
      <c r="A174" s="131" t="inlineStr">
        <is>
          <t>Total</t>
        </is>
      </c>
      <c r="B174" s="131" t="n">
        <v>317304</v>
      </c>
    </row>
  </sheetData>
  <mergeCells count="8">
    <mergeCell ref="A112:M112"/>
    <mergeCell ref="A2:F2"/>
    <mergeCell ref="A96:L96"/>
    <mergeCell ref="A80:F80"/>
    <mergeCell ref="A1:F1"/>
    <mergeCell ref="A124:M124"/>
    <mergeCell ref="A88:F88"/>
    <mergeCell ref="C100:L100"/>
  </mergeCells>
  <dataValidations count="1">
    <dataValidation sqref="B6:B11 B14:B17 B20:B24" showDropDown="0" showInputMessage="0" showErrorMessage="0" allowBlank="0" error="Enter 0 (OFF) or 1 (ON)" type="list" errorStyle="stop" operator="between">
      <formula1>"0,1"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M7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8" activeCellId="0" sqref="C8"/>
    </sheetView>
  </sheetViews>
  <sheetFormatPr baseColWidth="8" defaultColWidth="8.66796875" defaultRowHeight="15" customHeight="0" zeroHeight="0" outlineLevelRow="0"/>
  <cols>
    <col width="37.67" customWidth="1" style="131" min="1" max="1"/>
    <col width="29" customWidth="1" style="131" min="2" max="2"/>
    <col width="29.52" customWidth="1" style="131" min="3" max="3"/>
    <col width="18" customWidth="1" style="131" min="4" max="12"/>
    <col width="14" customWidth="1" style="131" min="13" max="13"/>
  </cols>
  <sheetData>
    <row r="1" ht="52.5" customHeight="1" s="133">
      <c r="A1" s="142" t="inlineStr">
        <is>
          <t>4ORM FINANCE - EXECUTIVE SUMMARY</t>
        </is>
      </c>
    </row>
    <row r="2" ht="15" customHeight="1" s="133">
      <c r="A2" s="143" t="inlineStr">
        <is>
          <t>5-Year Financial Snapshot | Semi-Annual Periods | the platform Build | 5 Revenue Streams + (reserved) | CAD</t>
        </is>
      </c>
    </row>
    <row r="4" ht="37.5" customHeight="1" s="133">
      <c r="A4" s="144" t="inlineStr">
        <is>
          <t>KEY METRICS AT A GLANCE | LEAN BUILD vs TRADITIONAL</t>
        </is>
      </c>
      <c r="B4" s="144" t="inlineStr">
        <is>
          <t>platform Build</t>
        </is>
      </c>
      <c r="C4" s="144" t="inlineStr">
        <is>
          <t>Traditional Build</t>
        </is>
      </c>
      <c r="D4" s="144" t="inlineStr">
        <is>
          <t>Efficiency Savings</t>
        </is>
      </c>
      <c r="E4" s="144" t="n"/>
      <c r="F4" s="144" t="n"/>
      <c r="G4" s="144" t="n"/>
      <c r="H4" s="144" t="n"/>
      <c r="I4" s="144" t="n"/>
      <c r="J4" s="144" t="n"/>
      <c r="K4" s="144" t="n"/>
      <c r="L4" s="144" t="n"/>
      <c r="M4" s="144" t="n"/>
    </row>
    <row r="5" ht="15" customHeight="1" s="133">
      <c r="A5" s="190" t="inlineStr">
        <is>
          <t>ATB Year 1 Revenue (4ORM Share)</t>
        </is>
      </c>
      <c r="B5" s="191">
        <f>'Revenue Model'!D26+'Revenue Model'!E26</f>
        <v/>
      </c>
      <c r="C5" s="191">
        <f>B5</f>
        <v/>
      </c>
      <c r="D5" s="173" t="inlineStr">
        <is>
          <t>N/A - Revenue same</t>
        </is>
      </c>
      <c r="E5" s="192" t="inlineStr">
        <is>
          <t>5 streams: Settlement + Issuance + Trading + Custody + SaaS</t>
        </is>
      </c>
      <c r="F5" s="193" t="n"/>
      <c r="G5" s="193" t="n"/>
      <c r="H5" s="193" t="n"/>
      <c r="I5" s="193" t="n"/>
      <c r="J5" s="193" t="n"/>
      <c r="K5" s="193" t="n"/>
      <c r="L5" s="193" t="n"/>
      <c r="M5" s="194" t="n"/>
    </row>
    <row r="6" ht="26.25" customHeight="1" s="133">
      <c r="A6" s="168" t="inlineStr">
        <is>
          <t>5-Year Total Revenue (4 FIs + (reserved))</t>
        </is>
      </c>
      <c r="B6" s="195">
        <f>'5-Year P&amp;L Summary'!M16</f>
        <v/>
      </c>
      <c r="C6" s="195">
        <f>B6</f>
        <v/>
      </c>
      <c r="D6" s="176" t="inlineStr">
        <is>
          <t>N/A - Revenue same</t>
        </is>
      </c>
      <c r="E6" s="149" t="inlineStr">
        <is>
          <t>ATB+BVCU (2027) + Servus+Vancity (2028) + (reserved)</t>
        </is>
      </c>
      <c r="F6" s="193" t="n"/>
      <c r="G6" s="193" t="n"/>
      <c r="H6" s="193" t="n"/>
      <c r="I6" s="193" t="n"/>
      <c r="J6" s="193" t="n"/>
      <c r="K6" s="193" t="n"/>
      <c r="L6" s="193" t="n"/>
      <c r="M6" s="194" t="n"/>
    </row>
    <row r="7" ht="26.25" customHeight="1" s="133">
      <c r="A7" s="190" t="inlineStr">
        <is>
          <t>5-Year Total Expenses (platform Build)</t>
        </is>
      </c>
      <c r="B7" s="196">
        <f>'5-Year P&amp;L Summary'!M24</f>
        <v/>
      </c>
      <c r="C7" s="197">
        <f>SUM('DevEx - Build Costs'!C36:M37)+SUM('OpEx - Ongoing'!C39:M40)</f>
        <v/>
      </c>
      <c r="D7" s="198">
        <f>C7-B7</f>
        <v/>
      </c>
      <c r="E7" s="192" t="inlineStr">
        <is>
          <t>Traditional = +35% DevEx + ~$890K/yr additional comp</t>
        </is>
      </c>
      <c r="F7" s="193" t="n"/>
      <c r="G7" s="193" t="n"/>
      <c r="H7" s="193" t="n"/>
      <c r="I7" s="193" t="n"/>
      <c r="J7" s="193" t="n"/>
      <c r="K7" s="193" t="n"/>
      <c r="L7" s="193" t="n"/>
      <c r="M7" s="194" t="n"/>
    </row>
    <row r="8" ht="26.25" customHeight="1" s="133">
      <c r="A8" s="168" t="inlineStr">
        <is>
          <t>5-Year Net Income</t>
        </is>
      </c>
      <c r="B8" s="196">
        <f>'5-Year P&amp;L Summary'!M26</f>
        <v/>
      </c>
      <c r="C8" s="197">
        <f>B6-C7</f>
        <v/>
      </c>
      <c r="D8" s="199">
        <f>B8-C8</f>
        <v/>
      </c>
      <c r="E8" s="149" t="inlineStr">
        <is>
          <t>platform Build generates more profit by reducing expenses</t>
        </is>
      </c>
      <c r="F8" s="193" t="n"/>
      <c r="G8" s="193" t="n"/>
      <c r="H8" s="193" t="n"/>
      <c r="I8" s="193" t="n"/>
      <c r="J8" s="193" t="n"/>
      <c r="K8" s="193" t="n"/>
      <c r="L8" s="193" t="n"/>
      <c r="M8" s="194" t="n"/>
    </row>
    <row r="9" ht="15" customHeight="1" s="133">
      <c r="A9" s="190" t="inlineStr">
        <is>
          <t>Year 5 Annual Revenue (H2 2031)</t>
        </is>
      </c>
      <c r="B9" s="191">
        <f>'Revenue Model'!M58</f>
        <v/>
      </c>
      <c r="C9" s="191">
        <f>B9</f>
        <v/>
      </c>
      <c r="D9" s="173" t="inlineStr">
        <is>
          <t>N/A - Revenue same</t>
        </is>
      </c>
      <c r="E9" s="192" t="inlineStr">
        <is>
          <t>H2 2031: 4 FIs at full capacity + (reserved)</t>
        </is>
      </c>
      <c r="F9" s="193" t="n"/>
      <c r="G9" s="193" t="n"/>
      <c r="H9" s="193" t="n"/>
      <c r="I9" s="193" t="n"/>
      <c r="J9" s="193" t="n"/>
      <c r="K9" s="193" t="n"/>
      <c r="L9" s="193" t="n"/>
      <c r="M9" s="194" t="n"/>
    </row>
    <row r="10" ht="15" customHeight="1" s="133">
      <c r="A10" s="168" t="inlineStr">
        <is>
          <t>Blended Gross Margin</t>
        </is>
      </c>
      <c r="B10" s="200">
        <f>IF('5-Year P&amp;L Summary'!M16=0,0,'5-Year P&amp;L Summary'!M26/'5-Year P&amp;L Summary'!M16)</f>
        <v/>
      </c>
      <c r="C10" s="201">
        <f>IF(B6=0,0,(B6-C7)/B6)</f>
        <v/>
      </c>
      <c r="D10" s="202">
        <f>B10-C10</f>
        <v/>
      </c>
      <c r="E10" s="149" t="inlineStr">
        <is>
          <t>platform Build achieves higher margins via lower headcount</t>
        </is>
      </c>
      <c r="F10" s="193" t="n"/>
      <c r="G10" s="193" t="n"/>
      <c r="H10" s="193" t="n"/>
      <c r="I10" s="193" t="n"/>
      <c r="J10" s="193" t="n"/>
      <c r="K10" s="193" t="n"/>
      <c r="L10" s="193" t="n"/>
      <c r="M10" s="194" t="n"/>
    </row>
    <row r="12" ht="15" customHeight="1" s="133">
      <c r="A12" s="150" t="inlineStr">
        <is>
          <t>5-YEAR P&amp;L SNAPSHOT (platform BUILD)</t>
        </is>
      </c>
      <c r="B12" s="150" t="n"/>
      <c r="C12" s="150" t="n"/>
      <c r="D12" s="150" t="n"/>
      <c r="E12" s="150" t="n"/>
      <c r="F12" s="150" t="n"/>
      <c r="G12" s="150" t="n"/>
      <c r="H12" s="150" t="n"/>
      <c r="I12" s="150" t="n"/>
      <c r="J12" s="150" t="n"/>
      <c r="K12" s="150" t="n"/>
      <c r="L12" s="150" t="n"/>
      <c r="M12" s="150" t="n"/>
    </row>
    <row r="13" ht="15" customHeight="1" s="133">
      <c r="A13" s="144" t="n"/>
      <c r="B13" s="144" t="inlineStr">
        <is>
          <t>H2 2026</t>
        </is>
      </c>
      <c r="C13" s="144" t="inlineStr">
        <is>
          <t>H1 2027</t>
        </is>
      </c>
      <c r="D13" s="144" t="inlineStr">
        <is>
          <t>H2 2027</t>
        </is>
      </c>
      <c r="E13" s="144" t="inlineStr">
        <is>
          <t>H1 2028</t>
        </is>
      </c>
      <c r="F13" s="144" t="inlineStr">
        <is>
          <t>H2 2028</t>
        </is>
      </c>
      <c r="G13" s="144" t="inlineStr">
        <is>
          <t>H1 2029</t>
        </is>
      </c>
      <c r="H13" s="144" t="inlineStr">
        <is>
          <t>H2 2029</t>
        </is>
      </c>
      <c r="I13" s="144" t="inlineStr">
        <is>
          <t>H1 2030</t>
        </is>
      </c>
      <c r="J13" s="144" t="inlineStr">
        <is>
          <t>H2 2030</t>
        </is>
      </c>
      <c r="K13" s="144" t="inlineStr">
        <is>
          <t>H1 2031</t>
        </is>
      </c>
      <c r="L13" s="144" t="inlineStr">
        <is>
          <t>H2 2031</t>
        </is>
      </c>
      <c r="M13" s="144" t="inlineStr">
        <is>
          <t>5-Year Total</t>
        </is>
      </c>
    </row>
    <row r="14" ht="15" customHeight="1" s="133">
      <c r="A14" s="203" t="inlineStr">
        <is>
          <t>Total Revenue</t>
        </is>
      </c>
      <c r="B14" s="204">
        <f>'5-Year P&amp;L Summary'!B13</f>
        <v/>
      </c>
      <c r="C14" s="204">
        <f>'5-Year P&amp;L Summary'!C13</f>
        <v/>
      </c>
      <c r="D14" s="204">
        <f>'5-Year P&amp;L Summary'!D13</f>
        <v/>
      </c>
      <c r="E14" s="204">
        <f>'5-Year P&amp;L Summary'!E13</f>
        <v/>
      </c>
      <c r="F14" s="204">
        <f>'5-Year P&amp;L Summary'!F13</f>
        <v/>
      </c>
      <c r="G14" s="204">
        <f>'5-Year P&amp;L Summary'!G13</f>
        <v/>
      </c>
      <c r="H14" s="204">
        <f>'5-Year P&amp;L Summary'!H13</f>
        <v/>
      </c>
      <c r="I14" s="204">
        <f>'5-Year P&amp;L Summary'!I13</f>
        <v/>
      </c>
      <c r="J14" s="204">
        <f>'5-Year P&amp;L Summary'!J13</f>
        <v/>
      </c>
      <c r="K14" s="204">
        <f>'5-Year P&amp;L Summary'!K13</f>
        <v/>
      </c>
      <c r="L14" s="204">
        <f>'5-Year P&amp;L Summary'!L13</f>
        <v/>
      </c>
      <c r="M14" s="204">
        <f>SUM(B14:L14)</f>
        <v/>
      </c>
    </row>
    <row r="15" ht="15" customHeight="1" s="133">
      <c r="A15" s="177" t="inlineStr">
        <is>
          <t xml:space="preserve"> Settlement Fees (1.5 bps)</t>
        </is>
      </c>
      <c r="B15" s="199">
        <f>'5-Year P&amp;L Summary'!B6</f>
        <v/>
      </c>
      <c r="C15" s="199">
        <f>'5-Year P&amp;L Summary'!C6</f>
        <v/>
      </c>
      <c r="D15" s="199">
        <f>'5-Year P&amp;L Summary'!D6</f>
        <v/>
      </c>
      <c r="E15" s="199">
        <f>'5-Year P&amp;L Summary'!E6</f>
        <v/>
      </c>
      <c r="F15" s="199">
        <f>'5-Year P&amp;L Summary'!F6</f>
        <v/>
      </c>
      <c r="G15" s="199">
        <f>'5-Year P&amp;L Summary'!G6</f>
        <v/>
      </c>
      <c r="H15" s="199">
        <f>'5-Year P&amp;L Summary'!H6</f>
        <v/>
      </c>
      <c r="I15" s="199">
        <f>'5-Year P&amp;L Summary'!I6</f>
        <v/>
      </c>
      <c r="J15" s="199">
        <f>'5-Year P&amp;L Summary'!J6</f>
        <v/>
      </c>
      <c r="K15" s="199">
        <f>'5-Year P&amp;L Summary'!K6</f>
        <v/>
      </c>
      <c r="L15" s="199">
        <f>'5-Year P&amp;L Summary'!L6</f>
        <v/>
      </c>
      <c r="M15" s="199">
        <f>SUM(B15:L15)</f>
        <v/>
      </c>
    </row>
    <row r="16" ht="15" customHeight="1" s="133">
      <c r="A16" s="177" t="inlineStr">
        <is>
          <t xml:space="preserve"> Issuance Fees (0.5%)</t>
        </is>
      </c>
      <c r="B16" s="199">
        <f>'5-Year P&amp;L Summary'!B7</f>
        <v/>
      </c>
      <c r="C16" s="199">
        <f>'5-Year P&amp;L Summary'!C7</f>
        <v/>
      </c>
      <c r="D16" s="199">
        <f>'5-Year P&amp;L Summary'!D7</f>
        <v/>
      </c>
      <c r="E16" s="199">
        <f>'5-Year P&amp;L Summary'!E7</f>
        <v/>
      </c>
      <c r="F16" s="199">
        <f>'5-Year P&amp;L Summary'!F7</f>
        <v/>
      </c>
      <c r="G16" s="199">
        <f>'5-Year P&amp;L Summary'!G7</f>
        <v/>
      </c>
      <c r="H16" s="199">
        <f>'5-Year P&amp;L Summary'!H7</f>
        <v/>
      </c>
      <c r="I16" s="199">
        <f>'5-Year P&amp;L Summary'!I7</f>
        <v/>
      </c>
      <c r="J16" s="199">
        <f>'5-Year P&amp;L Summary'!J7</f>
        <v/>
      </c>
      <c r="K16" s="199">
        <f>'5-Year P&amp;L Summary'!K7</f>
        <v/>
      </c>
      <c r="L16" s="199">
        <f>'5-Year P&amp;L Summary'!L7</f>
        <v/>
      </c>
      <c r="M16" s="199">
        <f>SUM(B16:L16)</f>
        <v/>
      </c>
    </row>
    <row r="17" ht="15" customHeight="1" s="133">
      <c r="A17" s="177" t="inlineStr">
        <is>
          <t xml:space="preserve"> Trading Fees (5 bps)</t>
        </is>
      </c>
      <c r="B17" s="199">
        <f>'5-Year P&amp;L Summary'!B8</f>
        <v/>
      </c>
      <c r="C17" s="199">
        <f>'5-Year P&amp;L Summary'!C8</f>
        <v/>
      </c>
      <c r="D17" s="199">
        <f>'5-Year P&amp;L Summary'!D8</f>
        <v/>
      </c>
      <c r="E17" s="199">
        <f>'5-Year P&amp;L Summary'!E8</f>
        <v/>
      </c>
      <c r="F17" s="199">
        <f>'5-Year P&amp;L Summary'!F8</f>
        <v/>
      </c>
      <c r="G17" s="199">
        <f>'5-Year P&amp;L Summary'!G8</f>
        <v/>
      </c>
      <c r="H17" s="199">
        <f>'5-Year P&amp;L Summary'!H8</f>
        <v/>
      </c>
      <c r="I17" s="199">
        <f>'5-Year P&amp;L Summary'!I8</f>
        <v/>
      </c>
      <c r="J17" s="199">
        <f>'5-Year P&amp;L Summary'!J8</f>
        <v/>
      </c>
      <c r="K17" s="199">
        <f>'5-Year P&amp;L Summary'!K8</f>
        <v/>
      </c>
      <c r="L17" s="199">
        <f>'5-Year P&amp;L Summary'!L8</f>
        <v/>
      </c>
      <c r="M17" s="199">
        <f>SUM(B17:L17)</f>
        <v/>
      </c>
    </row>
    <row r="18" ht="15" customHeight="1" s="133">
      <c r="A18" s="177" t="inlineStr">
        <is>
          <t xml:space="preserve"> Custody Fees (30 bps)</t>
        </is>
      </c>
      <c r="B18" s="199">
        <f>'5-Year P&amp;L Summary'!B9</f>
        <v/>
      </c>
      <c r="C18" s="199">
        <f>'5-Year P&amp;L Summary'!C9</f>
        <v/>
      </c>
      <c r="D18" s="199">
        <f>'5-Year P&amp;L Summary'!D9</f>
        <v/>
      </c>
      <c r="E18" s="199">
        <f>'5-Year P&amp;L Summary'!E9</f>
        <v/>
      </c>
      <c r="F18" s="199">
        <f>'5-Year P&amp;L Summary'!F9</f>
        <v/>
      </c>
      <c r="G18" s="199">
        <f>'5-Year P&amp;L Summary'!G9</f>
        <v/>
      </c>
      <c r="H18" s="199">
        <f>'5-Year P&amp;L Summary'!H9</f>
        <v/>
      </c>
      <c r="I18" s="199">
        <f>'5-Year P&amp;L Summary'!I9</f>
        <v/>
      </c>
      <c r="J18" s="199">
        <f>'5-Year P&amp;L Summary'!J9</f>
        <v/>
      </c>
      <c r="K18" s="199">
        <f>'5-Year P&amp;L Summary'!K9</f>
        <v/>
      </c>
      <c r="L18" s="199">
        <f>'5-Year P&amp;L Summary'!L9</f>
        <v/>
      </c>
      <c r="M18" s="199">
        <f>SUM(B18:L18)</f>
        <v/>
      </c>
    </row>
    <row r="19" ht="15" customHeight="1" s="133">
      <c r="A19" s="177" t="inlineStr">
        <is>
          <t xml:space="preserve"> SaaS + APIs ($25K/mo)</t>
        </is>
      </c>
      <c r="B19" s="199">
        <f>'5-Year P&amp;L Summary'!B10</f>
        <v/>
      </c>
      <c r="C19" s="199">
        <f>'5-Year P&amp;L Summary'!C10</f>
        <v/>
      </c>
      <c r="D19" s="199">
        <f>'5-Year P&amp;L Summary'!D10</f>
        <v/>
      </c>
      <c r="E19" s="199">
        <f>'5-Year P&amp;L Summary'!E10</f>
        <v/>
      </c>
      <c r="F19" s="199">
        <f>'5-Year P&amp;L Summary'!F10</f>
        <v/>
      </c>
      <c r="G19" s="199">
        <f>'5-Year P&amp;L Summary'!G10</f>
        <v/>
      </c>
      <c r="H19" s="199">
        <f>'5-Year P&amp;L Summary'!H10</f>
        <v/>
      </c>
      <c r="I19" s="199">
        <f>'5-Year P&amp;L Summary'!I10</f>
        <v/>
      </c>
      <c r="J19" s="199">
        <f>'5-Year P&amp;L Summary'!J10</f>
        <v/>
      </c>
      <c r="K19" s="199">
        <f>'5-Year P&amp;L Summary'!K10</f>
        <v/>
      </c>
      <c r="L19" s="199">
        <f>'5-Year P&amp;L Summary'!L10</f>
        <v/>
      </c>
      <c r="M19" s="199">
        <f>SUM(B19:L19)</f>
        <v/>
      </c>
    </row>
    <row r="20" ht="15" customHeight="1" s="133">
      <c r="A20" s="177" t="inlineStr">
        <is>
          <t xml:space="preserve"> (reserved)</t>
        </is>
      </c>
      <c r="B20" s="199">
        <f>'5-Year P&amp;L Summary'!B11</f>
        <v/>
      </c>
      <c r="C20" s="199">
        <f>'5-Year P&amp;L Summary'!C11</f>
        <v/>
      </c>
      <c r="D20" s="199">
        <f>'5-Year P&amp;L Summary'!D11</f>
        <v/>
      </c>
      <c r="E20" s="199">
        <f>'5-Year P&amp;L Summary'!E11</f>
        <v/>
      </c>
      <c r="F20" s="199">
        <f>'5-Year P&amp;L Summary'!F11</f>
        <v/>
      </c>
      <c r="G20" s="199">
        <f>'5-Year P&amp;L Summary'!G11</f>
        <v/>
      </c>
      <c r="H20" s="199">
        <f>'5-Year P&amp;L Summary'!H11</f>
        <v/>
      </c>
      <c r="I20" s="199">
        <f>'5-Year P&amp;L Summary'!I11</f>
        <v/>
      </c>
      <c r="J20" s="199">
        <f>'5-Year P&amp;L Summary'!J11</f>
        <v/>
      </c>
      <c r="K20" s="199">
        <f>'5-Year P&amp;L Summary'!K11</f>
        <v/>
      </c>
      <c r="L20" s="199">
        <f>'5-Year P&amp;L Summary'!L11</f>
        <v/>
      </c>
      <c r="M20" s="199">
        <f>SUM(B20:L20)</f>
        <v/>
      </c>
    </row>
    <row r="21" ht="15" customHeight="1" s="133">
      <c r="A21" s="131" t="inlineStr">
        <is>
          <t xml:space="preserve"> (Reserved 6th Stream)</t>
        </is>
      </c>
      <c r="B21" s="189">
        <f>'5-Year P&amp;L Summary'!B12</f>
        <v/>
      </c>
      <c r="C21" s="189">
        <f>'5-Year P&amp;L Summary'!C12</f>
        <v/>
      </c>
      <c r="D21" s="189">
        <f>'5-Year P&amp;L Summary'!D12</f>
        <v/>
      </c>
      <c r="E21" s="189">
        <f>'5-Year P&amp;L Summary'!E12</f>
        <v/>
      </c>
      <c r="F21" s="189">
        <f>'5-Year P&amp;L Summary'!F12</f>
        <v/>
      </c>
      <c r="G21" s="189">
        <f>'5-Year P&amp;L Summary'!G12</f>
        <v/>
      </c>
      <c r="H21" s="189">
        <f>'5-Year P&amp;L Summary'!H12</f>
        <v/>
      </c>
      <c r="I21" s="189">
        <f>'5-Year P&amp;L Summary'!I12</f>
        <v/>
      </c>
      <c r="J21" s="189">
        <f>'5-Year P&amp;L Summary'!J12</f>
        <v/>
      </c>
      <c r="K21" s="189">
        <f>'5-Year P&amp;L Summary'!K12</f>
        <v/>
      </c>
      <c r="L21" s="189">
        <f>'5-Year P&amp;L Summary'!L12</f>
        <v/>
      </c>
      <c r="M21" s="189">
        <f>SUM(B21:L21)</f>
        <v/>
      </c>
    </row>
    <row r="22" ht="15" customHeight="1" s="133">
      <c r="A22" s="205" t="inlineStr">
        <is>
          <t>Total DevEx</t>
        </is>
      </c>
      <c r="B22" s="206">
        <f>'5-Year P&amp;L Summary'!B19</f>
        <v/>
      </c>
      <c r="C22" s="206">
        <f>'5-Year P&amp;L Summary'!C19</f>
        <v/>
      </c>
      <c r="D22" s="206">
        <f>'5-Year P&amp;L Summary'!D19</f>
        <v/>
      </c>
      <c r="E22" s="206">
        <f>'5-Year P&amp;L Summary'!E19</f>
        <v/>
      </c>
      <c r="F22" s="206">
        <f>'5-Year P&amp;L Summary'!F19</f>
        <v/>
      </c>
      <c r="G22" s="206">
        <f>'5-Year P&amp;L Summary'!G19</f>
        <v/>
      </c>
      <c r="H22" s="206">
        <f>'5-Year P&amp;L Summary'!H19</f>
        <v/>
      </c>
      <c r="I22" s="206">
        <f>'5-Year P&amp;L Summary'!I19</f>
        <v/>
      </c>
      <c r="J22" s="206">
        <f>'5-Year P&amp;L Summary'!J19</f>
        <v/>
      </c>
      <c r="K22" s="206">
        <f>'5-Year P&amp;L Summary'!K19</f>
        <v/>
      </c>
      <c r="L22" s="206">
        <f>'5-Year P&amp;L Summary'!L19</f>
        <v/>
      </c>
      <c r="M22" s="206">
        <f>SUM(B22:L22)</f>
        <v/>
      </c>
    </row>
    <row r="23" ht="15" customHeight="1" s="133">
      <c r="A23" s="205" t="inlineStr">
        <is>
          <t>Total OpEx</t>
        </is>
      </c>
      <c r="B23" s="206">
        <f>'5-Year P&amp;L Summary'!B22</f>
        <v/>
      </c>
      <c r="C23" s="206">
        <f>'5-Year P&amp;L Summary'!C22</f>
        <v/>
      </c>
      <c r="D23" s="206">
        <f>'5-Year P&amp;L Summary'!D22</f>
        <v/>
      </c>
      <c r="E23" s="206">
        <f>'5-Year P&amp;L Summary'!E22</f>
        <v/>
      </c>
      <c r="F23" s="206">
        <f>'5-Year P&amp;L Summary'!F22</f>
        <v/>
      </c>
      <c r="G23" s="206">
        <f>'5-Year P&amp;L Summary'!G22</f>
        <v/>
      </c>
      <c r="H23" s="206">
        <f>'5-Year P&amp;L Summary'!H22</f>
        <v/>
      </c>
      <c r="I23" s="206">
        <f>'5-Year P&amp;L Summary'!I22</f>
        <v/>
      </c>
      <c r="J23" s="206">
        <f>'5-Year P&amp;L Summary'!J22</f>
        <v/>
      </c>
      <c r="K23" s="206">
        <f>'5-Year P&amp;L Summary'!K22</f>
        <v/>
      </c>
      <c r="L23" s="206">
        <f>'5-Year P&amp;L Summary'!L22</f>
        <v/>
      </c>
      <c r="M23" s="206">
        <f>SUM(B23:L23)</f>
        <v/>
      </c>
    </row>
    <row r="24" ht="26.25" customHeight="1" s="133">
      <c r="A24" s="205" t="inlineStr">
        <is>
          <t>Total Expenses</t>
        </is>
      </c>
      <c r="B24" s="206">
        <f>'5-Year P&amp;L Summary'!B24</f>
        <v/>
      </c>
      <c r="C24" s="206">
        <f>'5-Year P&amp;L Summary'!C24</f>
        <v/>
      </c>
      <c r="D24" s="206">
        <f>'5-Year P&amp;L Summary'!D24</f>
        <v/>
      </c>
      <c r="E24" s="206">
        <f>'5-Year P&amp;L Summary'!E24</f>
        <v/>
      </c>
      <c r="F24" s="206">
        <f>'5-Year P&amp;L Summary'!F24</f>
        <v/>
      </c>
      <c r="G24" s="206">
        <f>'5-Year P&amp;L Summary'!G24</f>
        <v/>
      </c>
      <c r="H24" s="206">
        <f>'5-Year P&amp;L Summary'!H24</f>
        <v/>
      </c>
      <c r="I24" s="206">
        <f>'5-Year P&amp;L Summary'!I24</f>
        <v/>
      </c>
      <c r="J24" s="206">
        <f>'5-Year P&amp;L Summary'!J24</f>
        <v/>
      </c>
      <c r="K24" s="206">
        <f>'5-Year P&amp;L Summary'!K24</f>
        <v/>
      </c>
      <c r="L24" s="206">
        <f>'5-Year P&amp;L Summary'!L24</f>
        <v/>
      </c>
      <c r="M24" s="206">
        <f>SUM(B24:L24)</f>
        <v/>
      </c>
    </row>
    <row r="25" ht="15" customHeight="1" s="133">
      <c r="A25" s="207" t="inlineStr">
        <is>
          <t>NET PROFIT (LOSS)</t>
        </is>
      </c>
      <c r="B25" s="181">
        <f>'5-Year P&amp;L Summary'!B26</f>
        <v/>
      </c>
      <c r="C25" s="181">
        <f>'5-Year P&amp;L Summary'!C26</f>
        <v/>
      </c>
      <c r="D25" s="181">
        <f>'5-Year P&amp;L Summary'!D26</f>
        <v/>
      </c>
      <c r="E25" s="181">
        <f>'5-Year P&amp;L Summary'!E26</f>
        <v/>
      </c>
      <c r="F25" s="181">
        <f>'5-Year P&amp;L Summary'!F26</f>
        <v/>
      </c>
      <c r="G25" s="181">
        <f>'5-Year P&amp;L Summary'!G26</f>
        <v/>
      </c>
      <c r="H25" s="181">
        <f>'5-Year P&amp;L Summary'!H26</f>
        <v/>
      </c>
      <c r="I25" s="181">
        <f>'5-Year P&amp;L Summary'!I26</f>
        <v/>
      </c>
      <c r="J25" s="181">
        <f>'5-Year P&amp;L Summary'!J26</f>
        <v/>
      </c>
      <c r="K25" s="181">
        <f>'5-Year P&amp;L Summary'!K26</f>
        <v/>
      </c>
      <c r="L25" s="181">
        <f>'5-Year P&amp;L Summary'!L26</f>
        <v/>
      </c>
      <c r="M25" s="179">
        <f>SUM(B25:L25)</f>
        <v/>
      </c>
    </row>
    <row r="26" ht="15" customHeight="1" s="133">
      <c r="A26" s="168" t="inlineStr">
        <is>
          <t>Net Margin %</t>
        </is>
      </c>
      <c r="B26" s="166">
        <f>'5-Year P&amp;L Summary'!B27</f>
        <v/>
      </c>
      <c r="C26" s="166">
        <f>'5-Year P&amp;L Summary'!C27</f>
        <v/>
      </c>
      <c r="D26" s="166">
        <f>'5-Year P&amp;L Summary'!D27</f>
        <v/>
      </c>
      <c r="E26" s="166">
        <f>'5-Year P&amp;L Summary'!E27</f>
        <v/>
      </c>
      <c r="F26" s="166">
        <f>'5-Year P&amp;L Summary'!F27</f>
        <v/>
      </c>
      <c r="G26" s="166">
        <f>'5-Year P&amp;L Summary'!G27</f>
        <v/>
      </c>
      <c r="H26" s="166">
        <f>'5-Year P&amp;L Summary'!H27</f>
        <v/>
      </c>
      <c r="I26" s="166">
        <f>'5-Year P&amp;L Summary'!I27</f>
        <v/>
      </c>
      <c r="J26" s="166">
        <f>'5-Year P&amp;L Summary'!J27</f>
        <v/>
      </c>
      <c r="K26" s="166">
        <f>'5-Year P&amp;L Summary'!K27</f>
        <v/>
      </c>
      <c r="L26" s="166">
        <f>'5-Year P&amp;L Summary'!L27</f>
        <v/>
      </c>
      <c r="M26" s="166">
        <f>IF(M14=0,0,M25/M14)</f>
        <v/>
      </c>
    </row>
    <row r="27" ht="15" customHeight="1" s="133"/>
    <row r="28" ht="15" customHeight="1" s="133">
      <c r="A28" s="208" t="inlineStr">
        <is>
          <t>LEAN BUILD vs TRADITIONAL BUILD COMPARISON</t>
        </is>
      </c>
      <c r="B28" s="208" t="n"/>
      <c r="C28" s="208" t="n"/>
      <c r="D28" s="208" t="n"/>
      <c r="E28" s="208" t="n"/>
      <c r="F28" s="208" t="n"/>
      <c r="G28" s="208" t="n"/>
      <c r="H28" s="208" t="n"/>
      <c r="I28" s="208" t="n"/>
      <c r="J28" s="208" t="n"/>
      <c r="K28" s="208" t="n"/>
      <c r="L28" s="208" t="n"/>
      <c r="M28" s="208" t="n"/>
    </row>
    <row r="29" ht="15" customHeight="1" s="133">
      <c r="A29" s="144" t="inlineStr">
        <is>
          <t>Metric</t>
        </is>
      </c>
      <c r="B29" s="144" t="inlineStr">
        <is>
          <t>H2 2026</t>
        </is>
      </c>
      <c r="C29" s="144" t="inlineStr">
        <is>
          <t>H1 2027</t>
        </is>
      </c>
      <c r="D29" s="144" t="inlineStr">
        <is>
          <t>H2 2027</t>
        </is>
      </c>
      <c r="E29" s="144" t="inlineStr">
        <is>
          <t>H1 2028</t>
        </is>
      </c>
      <c r="F29" s="144" t="inlineStr">
        <is>
          <t>H2 2028</t>
        </is>
      </c>
      <c r="G29" s="144" t="inlineStr">
        <is>
          <t>H1 2029</t>
        </is>
      </c>
      <c r="H29" s="144" t="inlineStr">
        <is>
          <t>H2 2029</t>
        </is>
      </c>
      <c r="I29" s="144" t="inlineStr">
        <is>
          <t>H1 2030</t>
        </is>
      </c>
      <c r="J29" s="144" t="inlineStr">
        <is>
          <t>H2 2030</t>
        </is>
      </c>
      <c r="K29" s="144" t="inlineStr">
        <is>
          <t>H1 2031</t>
        </is>
      </c>
      <c r="L29" s="144" t="inlineStr">
        <is>
          <t>H2 2031</t>
        </is>
      </c>
      <c r="M29" s="144" t="inlineStr">
        <is>
          <t>5-Year Total</t>
        </is>
      </c>
    </row>
    <row r="30" ht="15" customHeight="1" s="133">
      <c r="A30" s="168" t="inlineStr">
        <is>
          <t>platform Build - Total DevEx</t>
        </is>
      </c>
      <c r="B30" s="179">
        <f>'DevEx - Build Costs'!C35</f>
        <v/>
      </c>
      <c r="C30" s="179">
        <f>'DevEx - Build Costs'!D35</f>
        <v/>
      </c>
      <c r="D30" s="179">
        <f>'DevEx - Build Costs'!E35</f>
        <v/>
      </c>
      <c r="E30" s="179">
        <f>'DevEx - Build Costs'!F35</f>
        <v/>
      </c>
      <c r="F30" s="179">
        <f>'DevEx - Build Costs'!G35</f>
        <v/>
      </c>
      <c r="G30" s="179">
        <f>'DevEx - Build Costs'!H35</f>
        <v/>
      </c>
      <c r="H30" s="179">
        <f>'DevEx - Build Costs'!I35</f>
        <v/>
      </c>
      <c r="I30" s="179">
        <f>'DevEx - Build Costs'!J35</f>
        <v/>
      </c>
      <c r="J30" s="179">
        <f>'DevEx - Build Costs'!K35</f>
        <v/>
      </c>
      <c r="K30" s="179">
        <f>'DevEx - Build Costs'!L35</f>
        <v/>
      </c>
      <c r="L30" s="179">
        <f>'DevEx - Build Costs'!M35</f>
        <v/>
      </c>
      <c r="M30" s="179">
        <f>SUM(B30:L30)</f>
        <v/>
      </c>
    </row>
    <row r="31" ht="15" customHeight="1" s="133">
      <c r="A31" s="168" t="inlineStr">
        <is>
          <t>platform Build - Total OpEx</t>
        </is>
      </c>
      <c r="B31" s="179">
        <f>'OpEx - Ongoing'!C38</f>
        <v/>
      </c>
      <c r="C31" s="179">
        <f>'OpEx - Ongoing'!D38</f>
        <v/>
      </c>
      <c r="D31" s="179">
        <f>'OpEx - Ongoing'!E38</f>
        <v/>
      </c>
      <c r="E31" s="179">
        <f>'OpEx - Ongoing'!F38</f>
        <v/>
      </c>
      <c r="F31" s="179">
        <f>'OpEx - Ongoing'!G38</f>
        <v/>
      </c>
      <c r="G31" s="179">
        <f>'OpEx - Ongoing'!H38</f>
        <v/>
      </c>
      <c r="H31" s="179">
        <f>'OpEx - Ongoing'!I38</f>
        <v/>
      </c>
      <c r="I31" s="179">
        <f>'OpEx - Ongoing'!J38</f>
        <v/>
      </c>
      <c r="J31" s="179">
        <f>'OpEx - Ongoing'!K38</f>
        <v/>
      </c>
      <c r="K31" s="179">
        <f>'OpEx - Ongoing'!L38</f>
        <v/>
      </c>
      <c r="L31" s="179">
        <f>'OpEx - Ongoing'!M38</f>
        <v/>
      </c>
      <c r="M31" s="179">
        <f>SUM(B31:L31)</f>
        <v/>
      </c>
    </row>
    <row r="32" ht="15" customHeight="1" s="133">
      <c r="A32" s="168" t="inlineStr">
        <is>
          <t>platform Build - Total Expenses</t>
        </is>
      </c>
      <c r="B32" s="179">
        <f>B30+B31</f>
        <v/>
      </c>
      <c r="C32" s="179">
        <f>C30+C31</f>
        <v/>
      </c>
      <c r="D32" s="179">
        <f>D30+D31</f>
        <v/>
      </c>
      <c r="E32" s="179">
        <f>E30+E31</f>
        <v/>
      </c>
      <c r="F32" s="179">
        <f>F30+F31</f>
        <v/>
      </c>
      <c r="G32" s="179">
        <f>G30+G31</f>
        <v/>
      </c>
      <c r="H32" s="179">
        <f>H30+H31</f>
        <v/>
      </c>
      <c r="I32" s="179">
        <f>I30+I31</f>
        <v/>
      </c>
      <c r="J32" s="179">
        <f>J30+J31</f>
        <v/>
      </c>
      <c r="K32" s="179">
        <f>K30+K31</f>
        <v/>
      </c>
      <c r="L32" s="179">
        <f>L30+L31</f>
        <v/>
      </c>
      <c r="M32" s="179">
        <f>SUM(B32:L32)</f>
        <v/>
      </c>
    </row>
    <row r="33" ht="28.5" customHeight="1" s="133">
      <c r="A33" s="209" t="inlineStr">
        <is>
          <t>Traditional - Total DevEx (+35%)</t>
        </is>
      </c>
      <c r="B33" s="210">
        <f>'DevEx - Build Costs'!C36</f>
        <v/>
      </c>
      <c r="C33" s="210">
        <f>'DevEx - Build Costs'!D36</f>
        <v/>
      </c>
      <c r="D33" s="210">
        <f>'DevEx - Build Costs'!E36</f>
        <v/>
      </c>
      <c r="E33" s="210">
        <f>'DevEx - Build Costs'!F36</f>
        <v/>
      </c>
      <c r="F33" s="210">
        <f>'DevEx - Build Costs'!G36</f>
        <v/>
      </c>
      <c r="G33" s="210">
        <f>'DevEx - Build Costs'!H36</f>
        <v/>
      </c>
      <c r="H33" s="210">
        <f>'DevEx - Build Costs'!I36</f>
        <v/>
      </c>
      <c r="I33" s="210">
        <f>'DevEx - Build Costs'!J36</f>
        <v/>
      </c>
      <c r="J33" s="210">
        <f>'DevEx - Build Costs'!K36</f>
        <v/>
      </c>
      <c r="K33" s="210">
        <f>'DevEx - Build Costs'!L36</f>
        <v/>
      </c>
      <c r="L33" s="210">
        <f>'DevEx - Build Costs'!M36</f>
        <v/>
      </c>
      <c r="M33" s="210">
        <f>SUM(B33:L33)</f>
        <v/>
      </c>
    </row>
    <row r="34" ht="15" customHeight="1" s="133">
      <c r="A34" s="209" t="inlineStr">
        <is>
          <t>Traditional - Total OpEx (+~$890K comp)</t>
        </is>
      </c>
      <c r="B34" s="210">
        <f>'OpEx - Ongoing'!C39</f>
        <v/>
      </c>
      <c r="C34" s="210">
        <f>'OpEx - Ongoing'!D39</f>
        <v/>
      </c>
      <c r="D34" s="210">
        <f>'OpEx - Ongoing'!E39</f>
        <v/>
      </c>
      <c r="E34" s="210">
        <f>'OpEx - Ongoing'!F39</f>
        <v/>
      </c>
      <c r="F34" s="210">
        <f>'OpEx - Ongoing'!G39</f>
        <v/>
      </c>
      <c r="G34" s="210">
        <f>'OpEx - Ongoing'!H39</f>
        <v/>
      </c>
      <c r="H34" s="210">
        <f>'OpEx - Ongoing'!I39</f>
        <v/>
      </c>
      <c r="I34" s="210">
        <f>'OpEx - Ongoing'!J39</f>
        <v/>
      </c>
      <c r="J34" s="210">
        <f>'OpEx - Ongoing'!K39</f>
        <v/>
      </c>
      <c r="K34" s="210">
        <f>'OpEx - Ongoing'!L39</f>
        <v/>
      </c>
      <c r="L34" s="210">
        <f>'OpEx - Ongoing'!M39</f>
        <v/>
      </c>
      <c r="M34" s="210">
        <f>SUM(B34:L34)</f>
        <v/>
      </c>
    </row>
    <row r="35" ht="15" customHeight="1" s="133">
      <c r="A35" s="209" t="inlineStr">
        <is>
          <t>Traditional - Total Expenses</t>
        </is>
      </c>
      <c r="B35" s="210">
        <f>B33+B34</f>
        <v/>
      </c>
      <c r="C35" s="210">
        <f>C33+C34</f>
        <v/>
      </c>
      <c r="D35" s="210">
        <f>D33+D34</f>
        <v/>
      </c>
      <c r="E35" s="210">
        <f>E33+E34</f>
        <v/>
      </c>
      <c r="F35" s="210">
        <f>F33+F34</f>
        <v/>
      </c>
      <c r="G35" s="210">
        <f>G33+G34</f>
        <v/>
      </c>
      <c r="H35" s="210">
        <f>H33+H34</f>
        <v/>
      </c>
      <c r="I35" s="210">
        <f>I33+I34</f>
        <v/>
      </c>
      <c r="J35" s="210">
        <f>J33+J34</f>
        <v/>
      </c>
      <c r="K35" s="210">
        <f>K33+K34</f>
        <v/>
      </c>
      <c r="L35" s="210">
        <f>L33+L34</f>
        <v/>
      </c>
      <c r="M35" s="210">
        <f>SUM(B35:L35)</f>
        <v/>
      </c>
    </row>
    <row r="36" ht="15" customHeight="1" s="133">
      <c r="A36" s="211" t="inlineStr">
        <is>
          <t>EFFICIENCY BUILD SAVINGS</t>
        </is>
      </c>
      <c r="B36" s="199">
        <f>B35-B32</f>
        <v/>
      </c>
      <c r="C36" s="199">
        <f>C35-C32</f>
        <v/>
      </c>
      <c r="D36" s="199">
        <f>D35-D32</f>
        <v/>
      </c>
      <c r="E36" s="199">
        <f>E35-E32</f>
        <v/>
      </c>
      <c r="F36" s="199">
        <f>F35-F32</f>
        <v/>
      </c>
      <c r="G36" s="199">
        <f>G35-G32</f>
        <v/>
      </c>
      <c r="H36" s="199">
        <f>H35-H32</f>
        <v/>
      </c>
      <c r="I36" s="199">
        <f>I35-I32</f>
        <v/>
      </c>
      <c r="J36" s="199">
        <f>J35-J32</f>
        <v/>
      </c>
      <c r="K36" s="199">
        <f>K35-K32</f>
        <v/>
      </c>
      <c r="L36" s="199">
        <f>L35-L32</f>
        <v/>
      </c>
      <c r="M36" s="199">
        <f>SUM(B36:L36)</f>
        <v/>
      </c>
    </row>
    <row r="37" ht="15" customHeight="1" s="133"/>
    <row r="38" ht="15" customHeight="1" s="133">
      <c r="A38" s="145" t="inlineStr">
        <is>
          <t>REVENUE BY FINANCIAL INSTITUTION</t>
        </is>
      </c>
      <c r="B38" s="145" t="n"/>
      <c r="C38" s="145" t="n"/>
      <c r="D38" s="145" t="n"/>
      <c r="E38" s="145" t="n"/>
      <c r="F38" s="145" t="n"/>
      <c r="G38" s="145" t="n"/>
      <c r="H38" s="145" t="n"/>
      <c r="I38" s="145" t="n"/>
      <c r="J38" s="145" t="n"/>
      <c r="K38" s="145" t="n"/>
      <c r="L38" s="145" t="n"/>
      <c r="M38" s="145" t="n"/>
    </row>
    <row r="39" ht="15" customHeight="1" s="133">
      <c r="A39" s="144" t="inlineStr">
        <is>
          <t>Institution</t>
        </is>
      </c>
      <c r="B39" s="144" t="inlineStr">
        <is>
          <t>H2 2026</t>
        </is>
      </c>
      <c r="C39" s="144" t="inlineStr">
        <is>
          <t>H1 2027</t>
        </is>
      </c>
      <c r="D39" s="144" t="inlineStr">
        <is>
          <t>H2 2027</t>
        </is>
      </c>
      <c r="E39" s="144" t="inlineStr">
        <is>
          <t>H1 2028</t>
        </is>
      </c>
      <c r="F39" s="144" t="inlineStr">
        <is>
          <t>H2 2028</t>
        </is>
      </c>
      <c r="G39" s="144" t="inlineStr">
        <is>
          <t>H1 2029</t>
        </is>
      </c>
      <c r="H39" s="144" t="inlineStr">
        <is>
          <t>H2 2029</t>
        </is>
      </c>
      <c r="I39" s="144" t="inlineStr">
        <is>
          <t>H1 2030</t>
        </is>
      </c>
      <c r="J39" s="144" t="inlineStr">
        <is>
          <t>H2 2030</t>
        </is>
      </c>
      <c r="K39" s="144" t="inlineStr">
        <is>
          <t>H1 2031</t>
        </is>
      </c>
      <c r="L39" s="144" t="inlineStr">
        <is>
          <t>H2 2031</t>
        </is>
      </c>
      <c r="M39" s="144" t="inlineStr">
        <is>
          <t>5-Year Total</t>
        </is>
      </c>
    </row>
    <row r="40" ht="15" customHeight="1" s="133">
      <c r="A40" s="168" t="inlineStr">
        <is>
          <t>ATB Financial</t>
        </is>
      </c>
      <c r="B40" s="199">
        <f>'Revenue Model'!C26</f>
        <v/>
      </c>
      <c r="C40" s="199">
        <f>'Revenue Model'!D26</f>
        <v/>
      </c>
      <c r="D40" s="199">
        <f>'Revenue Model'!E26</f>
        <v/>
      </c>
      <c r="E40" s="199">
        <f>'Revenue Model'!F26</f>
        <v/>
      </c>
      <c r="F40" s="199">
        <f>'Revenue Model'!G26</f>
        <v/>
      </c>
      <c r="G40" s="199">
        <f>'Revenue Model'!H26</f>
        <v/>
      </c>
      <c r="H40" s="199">
        <f>'Revenue Model'!I26</f>
        <v/>
      </c>
      <c r="I40" s="199">
        <f>'Revenue Model'!J26</f>
        <v/>
      </c>
      <c r="J40" s="199">
        <f>'Revenue Model'!K26</f>
        <v/>
      </c>
      <c r="K40" s="199">
        <f>'Revenue Model'!L26</f>
        <v/>
      </c>
      <c r="L40" s="199">
        <f>'Revenue Model'!M26</f>
        <v/>
      </c>
      <c r="M40" s="179">
        <f>SUM(B40:L40)</f>
        <v/>
      </c>
    </row>
    <row r="41" ht="15" customHeight="1" s="133">
      <c r="A41" s="168" t="inlineStr">
        <is>
          <t>Bow Valley CU</t>
        </is>
      </c>
      <c r="B41" s="199">
        <f>'Revenue Model'!C33</f>
        <v/>
      </c>
      <c r="C41" s="199">
        <f>'Revenue Model'!D33</f>
        <v/>
      </c>
      <c r="D41" s="199">
        <f>'Revenue Model'!E33</f>
        <v/>
      </c>
      <c r="E41" s="199">
        <f>'Revenue Model'!F33</f>
        <v/>
      </c>
      <c r="F41" s="199">
        <f>'Revenue Model'!G33</f>
        <v/>
      </c>
      <c r="G41" s="199">
        <f>'Revenue Model'!H33</f>
        <v/>
      </c>
      <c r="H41" s="199">
        <f>'Revenue Model'!I33</f>
        <v/>
      </c>
      <c r="I41" s="199">
        <f>'Revenue Model'!J33</f>
        <v/>
      </c>
      <c r="J41" s="199">
        <f>'Revenue Model'!K33</f>
        <v/>
      </c>
      <c r="K41" s="199">
        <f>'Revenue Model'!L33</f>
        <v/>
      </c>
      <c r="L41" s="199">
        <f>'Revenue Model'!M33</f>
        <v/>
      </c>
      <c r="M41" s="179">
        <f>SUM(B41:L41)</f>
        <v/>
      </c>
    </row>
    <row r="42" ht="15" customHeight="1" s="133">
      <c r="A42" s="168" t="inlineStr">
        <is>
          <t>Vancity Credit Union</t>
        </is>
      </c>
      <c r="B42" s="199">
        <f>'Revenue Model'!C40</f>
        <v/>
      </c>
      <c r="C42" s="199">
        <f>'Revenue Model'!D40</f>
        <v/>
      </c>
      <c r="D42" s="199">
        <f>'Revenue Model'!E40</f>
        <v/>
      </c>
      <c r="E42" s="199">
        <f>'Revenue Model'!F40</f>
        <v/>
      </c>
      <c r="F42" s="199">
        <f>'Revenue Model'!G40</f>
        <v/>
      </c>
      <c r="G42" s="199">
        <f>'Revenue Model'!H40</f>
        <v/>
      </c>
      <c r="H42" s="199">
        <f>'Revenue Model'!I40</f>
        <v/>
      </c>
      <c r="I42" s="199">
        <f>'Revenue Model'!J40</f>
        <v/>
      </c>
      <c r="J42" s="199">
        <f>'Revenue Model'!K40</f>
        <v/>
      </c>
      <c r="K42" s="199">
        <f>'Revenue Model'!L40</f>
        <v/>
      </c>
      <c r="L42" s="199">
        <f>'Revenue Model'!M40</f>
        <v/>
      </c>
      <c r="M42" s="179">
        <f>SUM(B42:L42)</f>
        <v/>
      </c>
    </row>
    <row r="43" ht="15" customHeight="1" s="133">
      <c r="A43" s="168" t="inlineStr">
        <is>
          <t>Servus Credit Union</t>
        </is>
      </c>
      <c r="B43" s="199">
        <f>'Revenue Model'!C47</f>
        <v/>
      </c>
      <c r="C43" s="199">
        <f>'Revenue Model'!D47</f>
        <v/>
      </c>
      <c r="D43" s="199">
        <f>'Revenue Model'!E47</f>
        <v/>
      </c>
      <c r="E43" s="199">
        <f>'Revenue Model'!F47</f>
        <v/>
      </c>
      <c r="F43" s="199">
        <f>'Revenue Model'!G47</f>
        <v/>
      </c>
      <c r="G43" s="199">
        <f>'Revenue Model'!H47</f>
        <v/>
      </c>
      <c r="H43" s="199">
        <f>'Revenue Model'!I47</f>
        <v/>
      </c>
      <c r="I43" s="199">
        <f>'Revenue Model'!J47</f>
        <v/>
      </c>
      <c r="J43" s="199">
        <f>'Revenue Model'!K47</f>
        <v/>
      </c>
      <c r="K43" s="199">
        <f>'Revenue Model'!L47</f>
        <v/>
      </c>
      <c r="L43" s="199">
        <f>'Revenue Model'!M47</f>
        <v/>
      </c>
      <c r="M43" s="179">
        <f>SUM(B43:L43)</f>
        <v/>
      </c>
    </row>
    <row r="44" ht="15" customHeight="1" s="133">
      <c r="A44" s="168" t="inlineStr">
        <is>
          <t>(reserved slot)</t>
        </is>
      </c>
      <c r="B44" s="199">
        <f>'Revenue Model'!C49</f>
        <v/>
      </c>
      <c r="C44" s="199">
        <f>'Revenue Model'!D49</f>
        <v/>
      </c>
      <c r="D44" s="199">
        <f>'Revenue Model'!E49</f>
        <v/>
      </c>
      <c r="E44" s="199">
        <f>'Revenue Model'!F49</f>
        <v/>
      </c>
      <c r="F44" s="199">
        <f>'Revenue Model'!G49</f>
        <v/>
      </c>
      <c r="G44" s="199">
        <f>'Revenue Model'!H49</f>
        <v/>
      </c>
      <c r="H44" s="199">
        <f>'Revenue Model'!I49</f>
        <v/>
      </c>
      <c r="I44" s="199">
        <f>'Revenue Model'!J49</f>
        <v/>
      </c>
      <c r="J44" s="199">
        <f>'Revenue Model'!K49</f>
        <v/>
      </c>
      <c r="K44" s="199">
        <f>'Revenue Model'!L49</f>
        <v/>
      </c>
      <c r="L44" s="199">
        <f>'Revenue Model'!M49</f>
        <v/>
      </c>
      <c r="M44" s="179">
        <f>SUM(B44:L44)</f>
        <v/>
      </c>
    </row>
    <row r="45" ht="15" customHeight="1" s="133">
      <c r="A45" s="131" t="inlineStr">
        <is>
          <t>(Reserved 6th Stream)</t>
        </is>
      </c>
      <c r="B45" s="189">
        <f>'Revenue Model'!C68</f>
        <v/>
      </c>
      <c r="C45" s="189">
        <f>'Revenue Model'!D68</f>
        <v/>
      </c>
      <c r="D45" s="189">
        <f>'Revenue Model'!E68</f>
        <v/>
      </c>
      <c r="E45" s="189">
        <f>'Revenue Model'!F68</f>
        <v/>
      </c>
      <c r="F45" s="189">
        <f>'Revenue Model'!G68</f>
        <v/>
      </c>
      <c r="G45" s="189">
        <f>'Revenue Model'!H68</f>
        <v/>
      </c>
      <c r="H45" s="189">
        <f>'Revenue Model'!I68</f>
        <v/>
      </c>
      <c r="I45" s="189">
        <f>'Revenue Model'!J68</f>
        <v/>
      </c>
      <c r="J45" s="189">
        <f>'Revenue Model'!K68</f>
        <v/>
      </c>
      <c r="K45" s="189">
        <f>'Revenue Model'!L68</f>
        <v/>
      </c>
      <c r="L45" s="189">
        <f>'Revenue Model'!M68</f>
        <v/>
      </c>
      <c r="M45" s="189">
        <f>SUM(B45:L45)</f>
        <v/>
      </c>
    </row>
    <row r="46" ht="15" customHeight="1" s="133">
      <c r="A46" s="212" t="inlineStr">
        <is>
          <t>TOTAL ALL REVENUE</t>
        </is>
      </c>
      <c r="B46" s="179">
        <f>B40+B41+B42+B43+B44+B45</f>
        <v/>
      </c>
      <c r="C46" s="179">
        <f>C40+C41+C42+C43+C44+C45</f>
        <v/>
      </c>
      <c r="D46" s="179">
        <f>D40+D41+D42+D43+D44+D45</f>
        <v/>
      </c>
      <c r="E46" s="179">
        <f>E40+E41+E42+E43+E44+E45</f>
        <v/>
      </c>
      <c r="F46" s="179">
        <f>F40+F41+F42+F43+F44+F45</f>
        <v/>
      </c>
      <c r="G46" s="179">
        <f>G40+G41+G42+G43+G44+G45</f>
        <v/>
      </c>
      <c r="H46" s="179">
        <f>H40+H41+H42+H43+H44+H45</f>
        <v/>
      </c>
      <c r="I46" s="179">
        <f>I40+I41+I42+I43+I44+I45</f>
        <v/>
      </c>
      <c r="J46" s="179">
        <f>J40+J41+J42+J43+J44+J45</f>
        <v/>
      </c>
      <c r="K46" s="179">
        <f>K40+K41+K42+K43+K44+K45</f>
        <v/>
      </c>
      <c r="L46" s="179">
        <f>L40+L41+L42+L43+L44+L45</f>
        <v/>
      </c>
      <c r="M46" s="179">
        <f>SUM(B46:L46)</f>
        <v/>
      </c>
    </row>
    <row r="47" ht="15" customHeight="1" s="133"/>
    <row r="48" ht="23.25" customHeight="1" s="133">
      <c r="A48" s="165" t="inlineStr">
        <is>
          <t>REQUIRED CORPORATE STRUCTURE (Canadian Securities Regulation)</t>
        </is>
      </c>
      <c r="B48" s="165" t="n"/>
      <c r="C48" s="165" t="n"/>
      <c r="D48" s="165" t="n"/>
      <c r="E48" s="165" t="n"/>
      <c r="F48" s="165" t="n"/>
      <c r="G48" s="165" t="n"/>
      <c r="H48" s="165" t="n"/>
      <c r="I48" s="165" t="n"/>
      <c r="J48" s="165" t="n"/>
      <c r="K48" s="165" t="n"/>
      <c r="L48" s="165" t="n"/>
      <c r="M48" s="165" t="n"/>
    </row>
    <row r="49" ht="76.5" customHeight="1" s="133">
      <c r="A49" s="143" t="inlineStr">
        <is>
          <t>CIRO (Feb 2026) mandates custody operations be legally and functionally separate from exchange operations. Minimum 3 corporate entities required.</t>
        </is>
      </c>
    </row>
    <row r="50" ht="88.5" customHeight="1" s="133">
      <c r="A50" s="144" t="inlineStr">
        <is>
          <t>Entity</t>
        </is>
      </c>
      <c r="B50" s="144" t="inlineStr">
        <is>
          <t>Type</t>
        </is>
      </c>
      <c r="C50" s="144" t="inlineStr">
        <is>
          <t>Purpose</t>
        </is>
      </c>
      <c r="D50" s="144" t="inlineStr">
        <is>
          <t>Regulatory Basis</t>
        </is>
      </c>
      <c r="E50" s="144" t="inlineStr">
        <is>
          <t>Est. Annual Cost</t>
        </is>
      </c>
      <c r="F50" s="144" t="inlineStr">
        <is>
          <t>Notes</t>
        </is>
      </c>
    </row>
    <row r="51" ht="81.75" customHeight="1" s="133">
      <c r="A51" s="168" t="inlineStr">
        <is>
          <t>4ORM Holdings Inc.</t>
        </is>
      </c>
      <c r="B51" s="175" t="inlineStr">
        <is>
          <t>HoldCo</t>
        </is>
      </c>
      <c r="C51" s="213" t="inlineStr">
        <is>
          <t>Parent holding company - owns OpCo and CustodyCo. Holds intellectual property (patents, trade secrets, copyrights on code/APIs), brand, and licensing agreements.</t>
        </is>
      </c>
      <c r="D51" s="214" t="inlineStr">
        <is>
          <t>Standard corporate structure; IP protection via Copyright Act, Patent Act</t>
        </is>
      </c>
      <c r="E51" s="215" t="inlineStr">
        <is>
          <t>$45,000-$65,000</t>
        </is>
      </c>
      <c r="F51" s="214" t="inlineStr">
        <is>
          <t>Legal + annual filings + IP maintenance + D&amp;O insurance</t>
        </is>
      </c>
    </row>
    <row r="52" ht="23.25" customHeight="1" s="133">
      <c r="A52" s="168" t="inlineStr">
        <is>
          <t>4ORM Exchange Inc.</t>
        </is>
      </c>
      <c r="B52" s="175" t="inlineStr">
        <is>
          <t>OpCo</t>
        </is>
      </c>
      <c r="C52" s="213" t="inlineStr">
        <is>
          <t>Registered Investment Dealer with CIRO. Operates the institutional settlement layer / ATS (Alternative Trading System). All trading, settlement, and client-facing operations.</t>
        </is>
      </c>
      <c r="D52" s="214" t="inlineStr">
        <is>
          <t>CIRO dealer membership; CSA registration; NI 21-101 (ATS rules)</t>
        </is>
      </c>
      <c r="E52" s="215" t="inlineStr">
        <is>
          <t>$250,000-$350,000</t>
        </is>
      </c>
      <c r="F52" s="214" t="inlineStr">
        <is>
          <t>CIRO fees + compliance staff + regulatory filings + capital requirements</t>
        </is>
      </c>
    </row>
    <row r="53" ht="57" customHeight="1" s="133">
      <c r="A53" s="168" t="inlineStr">
        <is>
          <t>4ORM Custody Inc.</t>
        </is>
      </c>
      <c r="B53" s="175" t="inlineStr">
        <is>
          <t>CustodyCo</t>
        </is>
      </c>
      <c r="C53" s="213" t="inlineStr">
        <is>
          <t>Separate legal entity for digital asset custody. Must be independent from exchange operations per CIRO framework. Holds client assets in qualified custody.</t>
        </is>
      </c>
      <c r="D53" s="214" t="inlineStr">
        <is>
          <t>CIRO Digital Asset Custody Framework (Feb 2026); must meet Tier requirements</t>
        </is>
      </c>
      <c r="E53" s="215" t="inlineStr">
        <is>
          <t>$150,000-$200,000</t>
        </is>
      </c>
      <c r="F53" s="214" t="inlineStr">
        <is>
          <t>SOC 2 audit + insurance + security infrastructure + independent board</t>
        </is>
      </c>
    </row>
    <row r="54" ht="15" customHeight="1" s="133">
      <c r="A54" s="216" t="inlineStr">
        <is>
          <t>TOTAL ANNUAL CORPORATE OVERHEAD</t>
        </is>
      </c>
      <c r="B54" s="217" t="n"/>
      <c r="C54" s="217" t="n"/>
      <c r="D54" s="217" t="n"/>
      <c r="E54" s="218" t="inlineStr">
        <is>
          <t>$445,000-$615,000</t>
        </is>
      </c>
      <c r="F54" s="217" t="n"/>
    </row>
    <row r="55" ht="15" customHeight="1" s="133"/>
    <row r="56" ht="75" customHeight="1" s="133">
      <c r="A56" s="151" t="inlineStr">
        <is>
          <t>KEY REGULATORY REQUIREMENTS</t>
        </is>
      </c>
      <c r="B56" s="151" t="n"/>
      <c r="C56" s="151" t="n"/>
      <c r="D56" s="151" t="n"/>
      <c r="E56" s="151" t="n"/>
      <c r="F56" s="151" t="n"/>
    </row>
    <row r="57" ht="72" customHeight="1" s="133">
      <c r="A57" s="144" t="inlineStr">
        <is>
          <t>Requirement</t>
        </is>
      </c>
      <c r="B57" s="144" t="inlineStr">
        <is>
          <t>Detail</t>
        </is>
      </c>
      <c r="C57" s="144" t="inlineStr">
        <is>
          <t>Status</t>
        </is>
      </c>
    </row>
    <row r="58" ht="60.75" customHeight="1" s="133">
      <c r="A58" s="168" t="inlineStr">
        <is>
          <t>CIRO Dealer Membership</t>
        </is>
      </c>
      <c r="B58" s="213" t="inlineStr">
        <is>
          <t>OpCo must register as investment dealer with CIRO. Required for any firm facilitating trades of securities/derivatives including tokenized assets.</t>
        </is>
      </c>
      <c r="C58" s="215" t="inlineStr">
        <is>
          <t>Mandatory</t>
        </is>
      </c>
    </row>
    <row r="59" ht="61.5" customHeight="1" s="133">
      <c r="A59" s="168" t="inlineStr">
        <is>
          <t>Custody Separation</t>
        </is>
      </c>
      <c r="B59" s="213" t="inlineStr">
        <is>
          <t>Custodian must be legally and functionally independent from exchange/marketplace. Eliminates exposure to exchange losses and conflicts of interest.</t>
        </is>
      </c>
      <c r="C59" s="215" t="inlineStr">
        <is>
          <t>Mandatory</t>
        </is>
      </c>
    </row>
    <row r="60" ht="70.5" customHeight="1" s="133">
      <c r="A60" s="168" t="inlineStr">
        <is>
          <t>Tiered Custody Compliance</t>
        </is>
      </c>
      <c r="B60" s="213" t="inlineStr">
        <is>
          <t>CIRO 4-tier system: Tier 1 ($100M+ capital), Tier 2 (full compliance), Tier 3 (75% limit), Tier 4 (self-custody up to 20%). CustodyCo targets Tier 2-3.</t>
        </is>
      </c>
      <c r="C60" s="215" t="inlineStr">
        <is>
          <t>Mandatory</t>
        </is>
      </c>
    </row>
    <row r="61" ht="60.75" customHeight="1" s="133">
      <c r="A61" s="168" t="inlineStr">
        <is>
          <t>SOC 2 Type II</t>
        </is>
      </c>
      <c r="B61" s="213" t="inlineStr">
        <is>
          <t>Annual SOC 2 audit for custody operations. Required for all Acceptable Crypto Custodians under CIRO framework.</t>
        </is>
      </c>
      <c r="C61" s="215" t="inlineStr">
        <is>
          <t>Mandatory</t>
        </is>
      </c>
    </row>
    <row r="62" ht="67.5" customHeight="1" s="133">
      <c r="A62" s="168" t="inlineStr">
        <is>
          <t>Weekly Custody Monitoring</t>
        </is>
      </c>
      <c r="B62" s="213" t="inlineStr">
        <is>
          <t>Dealer must monitor custody limit compliance weekly, report breaches promptly, maintain documented key management and authorization policies.</t>
        </is>
      </c>
      <c r="C62" s="215" t="inlineStr">
        <is>
          <t>Mandatory</t>
        </is>
      </c>
    </row>
    <row r="63" ht="54" customHeight="1" s="133">
      <c r="A63" s="168" t="inlineStr">
        <is>
          <t>CSA Prospectus/Exemption</t>
        </is>
      </c>
      <c r="B63" s="213" t="inlineStr">
        <is>
          <t>Tokenized deposits may require prospectus exemption filing under CSA rules. OpCo handles all securities law compliance.</t>
        </is>
      </c>
      <c r="C63" s="219" t="inlineStr">
        <is>
          <t>Case-dependent</t>
        </is>
      </c>
    </row>
    <row r="64" ht="45.75" customHeight="1" s="133">
      <c r="A64" s="168" t="inlineStr">
        <is>
          <t>IP Protection (HoldCo)</t>
        </is>
      </c>
      <c r="B64" s="213" t="inlineStr">
        <is>
          <t>Patents on exchange mechanics, copyright on all code/APIs, trade secrets. HoldCo licenses IP to OpCo. Protects IP in insolvency.</t>
        </is>
      </c>
      <c r="C64" s="219" t="inlineStr">
        <is>
          <t>Best practice</t>
        </is>
      </c>
    </row>
    <row r="65" ht="15" customHeight="1" s="133">
      <c r="A65" s="168" t="inlineStr">
        <is>
          <t>Provincial Registration</t>
        </is>
      </c>
      <c r="B65" s="213" t="inlineStr">
        <is>
          <t>Registration in each province where clients are located (minimum AB + BC for initial FI partners).</t>
        </is>
      </c>
      <c r="C65" s="215" t="inlineStr">
        <is>
          <t>Mandatory</t>
        </is>
      </c>
    </row>
    <row r="66" ht="15" customHeight="1" s="133"/>
    <row r="67" ht="15" customHeight="1" s="133">
      <c r="A67" s="178" t="inlineStr">
        <is>
          <t>NON-DILUTIVE CAPITAL / GRANTS OVERVIEW</t>
        </is>
      </c>
      <c r="B67" s="178" t="n"/>
      <c r="C67" s="178" t="n"/>
      <c r="D67" s="178" t="n"/>
      <c r="E67" s="178" t="n"/>
      <c r="F67" s="178" t="n"/>
      <c r="G67" s="178" t="n"/>
      <c r="H67" s="178" t="n"/>
      <c r="I67" s="178" t="n"/>
      <c r="J67" s="178" t="n"/>
      <c r="K67" s="178" t="n"/>
      <c r="L67" s="178" t="n"/>
      <c r="M67" s="178" t="n"/>
    </row>
    <row r="68" ht="15" customHeight="1" s="133">
      <c r="A68" s="144" t="inlineStr">
        <is>
          <t>Grant Program</t>
        </is>
      </c>
      <c r="B68" s="144" t="inlineStr">
        <is>
          <t>H2 2026</t>
        </is>
      </c>
      <c r="C68" s="144" t="inlineStr">
        <is>
          <t>H1 2027</t>
        </is>
      </c>
      <c r="D68" s="144" t="inlineStr">
        <is>
          <t>H2 2027</t>
        </is>
      </c>
      <c r="E68" s="144" t="inlineStr">
        <is>
          <t>H1 2028</t>
        </is>
      </c>
      <c r="F68" s="144" t="inlineStr">
        <is>
          <t>H2 2028</t>
        </is>
      </c>
      <c r="G68" s="144" t="inlineStr">
        <is>
          <t>H1 2029</t>
        </is>
      </c>
      <c r="H68" s="144" t="inlineStr">
        <is>
          <t>H2 2029</t>
        </is>
      </c>
      <c r="I68" s="144" t="inlineStr">
        <is>
          <t>H1 2030</t>
        </is>
      </c>
      <c r="J68" s="144" t="inlineStr">
        <is>
          <t>H2 2030</t>
        </is>
      </c>
      <c r="K68" s="144" t="inlineStr">
        <is>
          <t>H1 2031</t>
        </is>
      </c>
      <c r="L68" s="144" t="inlineStr">
        <is>
          <t>H2 2031</t>
        </is>
      </c>
      <c r="M68" s="144" t="inlineStr">
        <is>
          <t>5-Year Total</t>
        </is>
      </c>
    </row>
    <row r="69" ht="15" customHeight="1" s="133">
      <c r="A69" s="168" t="inlineStr">
        <is>
          <t>Alberta Innovates FinTech Sandbox</t>
        </is>
      </c>
      <c r="B69" s="199">
        <f>'Control Panel'!$B$114*'Control Panel'!C126</f>
        <v/>
      </c>
      <c r="C69" s="199">
        <f>'Control Panel'!$B$114*'Control Panel'!D126</f>
        <v/>
      </c>
      <c r="D69" s="199">
        <f>'Control Panel'!$B$114*'Control Panel'!E126</f>
        <v/>
      </c>
      <c r="E69" s="199">
        <f>'Control Panel'!$B$114*'Control Panel'!F126</f>
        <v/>
      </c>
      <c r="F69" s="199">
        <f>'Control Panel'!$B$114*'Control Panel'!G126</f>
        <v/>
      </c>
      <c r="G69" s="199">
        <f>'Control Panel'!$B$114*'Control Panel'!H126</f>
        <v/>
      </c>
      <c r="H69" s="199">
        <f>'Control Panel'!$B$114*'Control Panel'!I126</f>
        <v/>
      </c>
      <c r="I69" s="199">
        <f>'Control Panel'!$B$114*'Control Panel'!J126</f>
        <v/>
      </c>
      <c r="J69" s="199">
        <f>'Control Panel'!$B$114*'Control Panel'!K126</f>
        <v/>
      </c>
      <c r="K69" s="199">
        <f>'Control Panel'!$B$114*'Control Panel'!L126</f>
        <v/>
      </c>
      <c r="L69" s="199">
        <f>'Control Panel'!$B$114*'Control Panel'!M126</f>
        <v/>
      </c>
      <c r="M69" s="179">
        <f>SUM(B69:L69)</f>
        <v/>
      </c>
    </row>
    <row r="70" ht="15" customHeight="1" s="133">
      <c r="A70" s="190" t="inlineStr">
        <is>
          <t>NRC IRAP</t>
        </is>
      </c>
      <c r="B70" s="198">
        <f>'Control Panel'!$B$115*'Control Panel'!C127</f>
        <v/>
      </c>
      <c r="C70" s="198">
        <f>'Control Panel'!$B$115*'Control Panel'!D127</f>
        <v/>
      </c>
      <c r="D70" s="198">
        <f>'Control Panel'!$B$115*'Control Panel'!E127</f>
        <v/>
      </c>
      <c r="E70" s="198">
        <f>'Control Panel'!$B$115*'Control Panel'!F127</f>
        <v/>
      </c>
      <c r="F70" s="198">
        <f>'Control Panel'!$B$115*'Control Panel'!G127</f>
        <v/>
      </c>
      <c r="G70" s="198">
        <f>'Control Panel'!$B$115*'Control Panel'!H127</f>
        <v/>
      </c>
      <c r="H70" s="198">
        <f>'Control Panel'!$B$115*'Control Panel'!I127</f>
        <v/>
      </c>
      <c r="I70" s="198">
        <f>'Control Panel'!$B$115*'Control Panel'!J127</f>
        <v/>
      </c>
      <c r="J70" s="198">
        <f>'Control Panel'!$B$115*'Control Panel'!K127</f>
        <v/>
      </c>
      <c r="K70" s="198">
        <f>'Control Panel'!$B$115*'Control Panel'!L127</f>
        <v/>
      </c>
      <c r="L70" s="198">
        <f>'Control Panel'!$B$115*'Control Panel'!M127</f>
        <v/>
      </c>
      <c r="M70" s="220">
        <f>SUM(B70:L70)</f>
        <v/>
      </c>
    </row>
    <row r="71" ht="15" customHeight="1" s="133">
      <c r="A71" s="168" t="inlineStr">
        <is>
          <t>SR&amp;ED Tax Credits</t>
        </is>
      </c>
      <c r="B71" s="199">
        <f>'Control Panel'!$B$116*'Control Panel'!C128</f>
        <v/>
      </c>
      <c r="C71" s="199">
        <f>'Control Panel'!$B$116*'Control Panel'!D128</f>
        <v/>
      </c>
      <c r="D71" s="199">
        <f>'Control Panel'!$B$116*'Control Panel'!E128</f>
        <v/>
      </c>
      <c r="E71" s="199">
        <f>'Control Panel'!$B$116*'Control Panel'!F128</f>
        <v/>
      </c>
      <c r="F71" s="199">
        <f>'Control Panel'!$B$116*'Control Panel'!G128</f>
        <v/>
      </c>
      <c r="G71" s="199">
        <f>'Control Panel'!$B$116*'Control Panel'!H128</f>
        <v/>
      </c>
      <c r="H71" s="199">
        <f>'Control Panel'!$B$116*'Control Panel'!I128</f>
        <v/>
      </c>
      <c r="I71" s="199">
        <f>'Control Panel'!$B$116*'Control Panel'!J128</f>
        <v/>
      </c>
      <c r="J71" s="199">
        <f>'Control Panel'!$B$116*'Control Panel'!K128</f>
        <v/>
      </c>
      <c r="K71" s="199">
        <f>'Control Panel'!$B$116*'Control Panel'!L128</f>
        <v/>
      </c>
      <c r="L71" s="199">
        <f>'Control Panel'!$B$116*'Control Panel'!M128</f>
        <v/>
      </c>
      <c r="M71" s="179">
        <f>SUM(B71:L71)</f>
        <v/>
      </c>
    </row>
    <row r="72" ht="15" customHeight="1" s="133">
      <c r="A72" s="190" t="inlineStr">
        <is>
          <t>Digital Supercluster</t>
        </is>
      </c>
      <c r="B72" s="198">
        <f>'Control Panel'!$B$117*'Control Panel'!C129</f>
        <v/>
      </c>
      <c r="C72" s="198">
        <f>'Control Panel'!$B$117*'Control Panel'!D129</f>
        <v/>
      </c>
      <c r="D72" s="198">
        <f>'Control Panel'!$B$117*'Control Panel'!E129</f>
        <v/>
      </c>
      <c r="E72" s="198">
        <f>'Control Panel'!$B$117*'Control Panel'!F129</f>
        <v/>
      </c>
      <c r="F72" s="198">
        <f>'Control Panel'!$B$117*'Control Panel'!G129</f>
        <v/>
      </c>
      <c r="G72" s="198">
        <f>'Control Panel'!$B$117*'Control Panel'!H129</f>
        <v/>
      </c>
      <c r="H72" s="198">
        <f>'Control Panel'!$B$117*'Control Panel'!I129</f>
        <v/>
      </c>
      <c r="I72" s="198">
        <f>'Control Panel'!$B$117*'Control Panel'!J129</f>
        <v/>
      </c>
      <c r="J72" s="198">
        <f>'Control Panel'!$B$117*'Control Panel'!K129</f>
        <v/>
      </c>
      <c r="K72" s="198">
        <f>'Control Panel'!$B$117*'Control Panel'!L129</f>
        <v/>
      </c>
      <c r="L72" s="198">
        <f>'Control Panel'!$B$117*'Control Panel'!M129</f>
        <v/>
      </c>
      <c r="M72" s="220">
        <f>SUM(B72:L72)</f>
        <v/>
      </c>
    </row>
    <row r="73" ht="15" customHeight="1" s="133">
      <c r="A73" s="168" t="inlineStr">
        <is>
          <t>Innovative Solutions Canada</t>
        </is>
      </c>
      <c r="B73" s="199">
        <f>'Control Panel'!$B$118*'Control Panel'!C130</f>
        <v/>
      </c>
      <c r="C73" s="199">
        <f>'Control Panel'!$B$118*'Control Panel'!D130</f>
        <v/>
      </c>
      <c r="D73" s="199">
        <f>'Control Panel'!$B$118*'Control Panel'!E130</f>
        <v/>
      </c>
      <c r="E73" s="199">
        <f>'Control Panel'!$B$118*'Control Panel'!F130</f>
        <v/>
      </c>
      <c r="F73" s="199">
        <f>'Control Panel'!$B$118*'Control Panel'!G130</f>
        <v/>
      </c>
      <c r="G73" s="199">
        <f>'Control Panel'!$B$118*'Control Panel'!H130</f>
        <v/>
      </c>
      <c r="H73" s="199">
        <f>'Control Panel'!$B$118*'Control Panel'!I130</f>
        <v/>
      </c>
      <c r="I73" s="199">
        <f>'Control Panel'!$B$118*'Control Panel'!J130</f>
        <v/>
      </c>
      <c r="J73" s="199">
        <f>'Control Panel'!$B$118*'Control Panel'!K130</f>
        <v/>
      </c>
      <c r="K73" s="199">
        <f>'Control Panel'!$B$118*'Control Panel'!L130</f>
        <v/>
      </c>
      <c r="L73" s="199">
        <f>'Control Panel'!$B$118*'Control Panel'!M130</f>
        <v/>
      </c>
      <c r="M73" s="179">
        <f>SUM(B73:L73)</f>
        <v/>
      </c>
    </row>
    <row r="74" ht="15" customHeight="1" s="133">
      <c r="A74" s="190" t="inlineStr">
        <is>
          <t>PrairiesCan</t>
        </is>
      </c>
      <c r="B74" s="198">
        <f>'Control Panel'!$B$119*'Control Panel'!C131</f>
        <v/>
      </c>
      <c r="C74" s="198">
        <f>'Control Panel'!$B$119*'Control Panel'!D131</f>
        <v/>
      </c>
      <c r="D74" s="198">
        <f>'Control Panel'!$B$119*'Control Panel'!E131</f>
        <v/>
      </c>
      <c r="E74" s="198">
        <f>'Control Panel'!$B$119*'Control Panel'!F131</f>
        <v/>
      </c>
      <c r="F74" s="198">
        <f>'Control Panel'!$B$119*'Control Panel'!G131</f>
        <v/>
      </c>
      <c r="G74" s="198">
        <f>'Control Panel'!$B$119*'Control Panel'!H131</f>
        <v/>
      </c>
      <c r="H74" s="198">
        <f>'Control Panel'!$B$119*'Control Panel'!I131</f>
        <v/>
      </c>
      <c r="I74" s="198">
        <f>'Control Panel'!$B$119*'Control Panel'!J131</f>
        <v/>
      </c>
      <c r="J74" s="198">
        <f>'Control Panel'!$B$119*'Control Panel'!K131</f>
        <v/>
      </c>
      <c r="K74" s="198">
        <f>'Control Panel'!$B$119*'Control Panel'!L131</f>
        <v/>
      </c>
      <c r="L74" s="198">
        <f>'Control Panel'!$B$119*'Control Panel'!M131</f>
        <v/>
      </c>
      <c r="M74" s="220">
        <f>SUM(B74:L74)</f>
        <v/>
      </c>
    </row>
    <row r="75" ht="26.25" customHeight="1" s="133">
      <c r="A75" s="168" t="inlineStr">
        <is>
          <t>Mitacs</t>
        </is>
      </c>
      <c r="B75" s="199">
        <f>'Control Panel'!$B$120*'Control Panel'!C132</f>
        <v/>
      </c>
      <c r="C75" s="199">
        <f>'Control Panel'!$B$120*'Control Panel'!D132</f>
        <v/>
      </c>
      <c r="D75" s="199">
        <f>'Control Panel'!$B$120*'Control Panel'!E132</f>
        <v/>
      </c>
      <c r="E75" s="199">
        <f>'Control Panel'!$B$120*'Control Panel'!F132</f>
        <v/>
      </c>
      <c r="F75" s="199">
        <f>'Control Panel'!$B$120*'Control Panel'!G132</f>
        <v/>
      </c>
      <c r="G75" s="199">
        <f>'Control Panel'!$B$120*'Control Panel'!H132</f>
        <v/>
      </c>
      <c r="H75" s="199">
        <f>'Control Panel'!$B$120*'Control Panel'!I132</f>
        <v/>
      </c>
      <c r="I75" s="199">
        <f>'Control Panel'!$B$120*'Control Panel'!J132</f>
        <v/>
      </c>
      <c r="J75" s="199">
        <f>'Control Panel'!$B$120*'Control Panel'!K132</f>
        <v/>
      </c>
      <c r="K75" s="199">
        <f>'Control Panel'!$B$120*'Control Panel'!L132</f>
        <v/>
      </c>
      <c r="L75" s="199">
        <f>'Control Panel'!$B$120*'Control Panel'!M132</f>
        <v/>
      </c>
      <c r="M75" s="179">
        <f>SUM(B75:L75)</f>
        <v/>
      </c>
    </row>
    <row r="76" ht="15" customHeight="1" s="133">
      <c r="A76" s="190" t="inlineStr">
        <is>
          <t>Alberta Enterprise Accelerate Fund IV</t>
        </is>
      </c>
      <c r="B76" s="198">
        <f>'Control Panel'!$B$121*'Control Panel'!C133</f>
        <v/>
      </c>
      <c r="C76" s="198">
        <f>'Control Panel'!$B$121*'Control Panel'!D133</f>
        <v/>
      </c>
      <c r="D76" s="198">
        <f>'Control Panel'!$B$121*'Control Panel'!E133</f>
        <v/>
      </c>
      <c r="E76" s="198">
        <f>'Control Panel'!$B$121*'Control Panel'!F133</f>
        <v/>
      </c>
      <c r="F76" s="198">
        <f>'Control Panel'!$B$121*'Control Panel'!G133</f>
        <v/>
      </c>
      <c r="G76" s="198">
        <f>'Control Panel'!$B$121*'Control Panel'!H133</f>
        <v/>
      </c>
      <c r="H76" s="198">
        <f>'Control Panel'!$B$121*'Control Panel'!I133</f>
        <v/>
      </c>
      <c r="I76" s="198">
        <f>'Control Panel'!$B$121*'Control Panel'!J133</f>
        <v/>
      </c>
      <c r="J76" s="198">
        <f>'Control Panel'!$B$121*'Control Panel'!K133</f>
        <v/>
      </c>
      <c r="K76" s="198">
        <f>'Control Panel'!$B$121*'Control Panel'!L133</f>
        <v/>
      </c>
      <c r="L76" s="198">
        <f>'Control Panel'!$B$121*'Control Panel'!M133</f>
        <v/>
      </c>
      <c r="M76" s="220">
        <f>SUM(B76:L76)</f>
        <v/>
      </c>
    </row>
    <row r="77" ht="15" customHeight="1" s="133">
      <c r="A77" s="221" t="inlineStr">
        <is>
          <t>TOTAL NON-DILUTIVE CAPITAL</t>
        </is>
      </c>
      <c r="B77" s="181">
        <f>B69+B70+B71+B72+B73+B74+B75+B76</f>
        <v/>
      </c>
      <c r="C77" s="181">
        <f>C69+C70+C71+C72+C73+C74+C75+C76</f>
        <v/>
      </c>
      <c r="D77" s="181">
        <f>D69+D70+D71+D72+D73+D74+D75+D76</f>
        <v/>
      </c>
      <c r="E77" s="181">
        <f>E69+E70+E71+E72+E73+E74+E75+E76</f>
        <v/>
      </c>
      <c r="F77" s="181">
        <f>F69+F70+F71+F72+F73+F74+F75+F76</f>
        <v/>
      </c>
      <c r="G77" s="181">
        <f>G69+G70+G71+G72+G73+G74+G75+G76</f>
        <v/>
      </c>
      <c r="H77" s="181">
        <f>H69+H70+H71+H72+H73+H74+H75+H76</f>
        <v/>
      </c>
      <c r="I77" s="181">
        <f>I69+I70+I71+I72+I73+I74+I75+I76</f>
        <v/>
      </c>
      <c r="J77" s="181">
        <f>J69+J70+J71+J72+J73+J74+J75+J76</f>
        <v/>
      </c>
      <c r="K77" s="181">
        <f>K69+K70+K71+K72+K73+K74+K75+K76</f>
        <v/>
      </c>
      <c r="L77" s="181">
        <f>L69+L70+L71+L72+L73+L74+L75+L76</f>
        <v/>
      </c>
      <c r="M77" s="222">
        <f>SUM(B77:L77)</f>
        <v/>
      </c>
    </row>
  </sheetData>
  <mergeCells count="9">
    <mergeCell ref="E7:M7"/>
    <mergeCell ref="A1:M1"/>
    <mergeCell ref="E10:M10"/>
    <mergeCell ref="E5:M5"/>
    <mergeCell ref="E9:M9"/>
    <mergeCell ref="E8:M8"/>
    <mergeCell ref="A2:M2"/>
    <mergeCell ref="A49:M49"/>
    <mergeCell ref="E6:M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5B6"/>
    <outlinePr summaryBelow="1" summaryRight="1"/>
    <pageSetUpPr fitToPage="0"/>
  </sheetPr>
  <dimension ref="A1:Y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28" customWidth="1" style="131" min="1" max="1"/>
    <col width="14" customWidth="1" style="131" min="2" max="2"/>
    <col width="10.33" customWidth="1" style="131" min="3" max="24"/>
    <col width="12" customWidth="1" style="131" min="25" max="25"/>
  </cols>
  <sheetData>
    <row r="1" ht="51.75" customHeight="1" s="133">
      <c r="A1" s="142" t="inlineStr">
        <is>
          <t>4ORM FINANCE - 5-YEAR TEAM HIRING ROADMAP | the platform BUILD vs TRADITIONAL BUILD</t>
        </is>
      </c>
    </row>
    <row r="2" ht="15" customHeight="1" s="133">
      <c r="A2" s="143" t="inlineStr">
        <is>
          <t>Phase 1 = Pre-Seed team (Chad, Zed, Kevin, Bruce, Dean, plus CTO + Smart Contract Dev + Backend Dev + DevOps + Exec Asst).</t>
        </is>
      </c>
    </row>
    <row r="4" ht="23.25" customHeight="1" s="133">
      <c r="A4" s="144" t="inlineStr">
        <is>
          <t>Role</t>
        </is>
      </c>
      <c r="B4" s="144" t="inlineStr">
        <is>
          <t>Annual Salary</t>
        </is>
      </c>
      <c r="C4" s="223" t="inlineStr">
        <is>
          <t>platform H2 2026</t>
        </is>
      </c>
      <c r="D4" s="223" t="inlineStr">
        <is>
          <t>platform H1 2027</t>
        </is>
      </c>
      <c r="E4" s="223" t="inlineStr">
        <is>
          <t>platform H2 2027</t>
        </is>
      </c>
      <c r="F4" s="223" t="inlineStr">
        <is>
          <t>platform H1 2028</t>
        </is>
      </c>
      <c r="G4" s="223" t="inlineStr">
        <is>
          <t>platform H2 2028</t>
        </is>
      </c>
      <c r="H4" s="223" t="inlineStr">
        <is>
          <t>platform H1 2029</t>
        </is>
      </c>
      <c r="I4" s="223" t="inlineStr">
        <is>
          <t>platform H2 2029</t>
        </is>
      </c>
      <c r="J4" s="223" t="inlineStr">
        <is>
          <t>platform H1 2030</t>
        </is>
      </c>
      <c r="K4" s="223" t="inlineStr">
        <is>
          <t>platform H2 2030</t>
        </is>
      </c>
      <c r="L4" s="223" t="inlineStr">
        <is>
          <t>platform H1 2031</t>
        </is>
      </c>
      <c r="M4" s="223" t="inlineStr">
        <is>
          <t>platform H2 2031</t>
        </is>
      </c>
      <c r="N4" s="224" t="inlineStr">
        <is>
          <t>Trad H2 2026</t>
        </is>
      </c>
      <c r="O4" s="224" t="inlineStr">
        <is>
          <t>Trad H1 2027</t>
        </is>
      </c>
      <c r="P4" s="224" t="inlineStr">
        <is>
          <t>Trad H2 2027</t>
        </is>
      </c>
      <c r="Q4" s="224" t="inlineStr">
        <is>
          <t>Trad H1 2028</t>
        </is>
      </c>
      <c r="R4" s="224" t="inlineStr">
        <is>
          <t>Trad H2 2028</t>
        </is>
      </c>
      <c r="S4" s="224" t="inlineStr">
        <is>
          <t>Trad H1 2029</t>
        </is>
      </c>
      <c r="T4" s="224" t="inlineStr">
        <is>
          <t>Trad H2 2029</t>
        </is>
      </c>
      <c r="U4" s="224" t="inlineStr">
        <is>
          <t>Trad H1 2030</t>
        </is>
      </c>
      <c r="V4" s="224" t="inlineStr">
        <is>
          <t>Trad H2 2030</t>
        </is>
      </c>
      <c r="W4" s="224" t="inlineStr">
        <is>
          <t>Trad H1 2031</t>
        </is>
      </c>
      <c r="X4" s="224" t="inlineStr">
        <is>
          <t>Trad H2 2031</t>
        </is>
      </c>
      <c r="Y4" s="144" t="inlineStr">
        <is>
          <t>platform Build Savings %</t>
        </is>
      </c>
    </row>
    <row r="5" ht="15" customHeight="1" s="133">
      <c r="A5" s="150" t="inlineStr">
        <is>
          <t>EXECUTIVE TEAM</t>
        </is>
      </c>
      <c r="B5" s="150" t="n"/>
      <c r="C5" s="150" t="n"/>
      <c r="D5" s="150" t="n"/>
      <c r="E5" s="150" t="n"/>
      <c r="F5" s="150" t="n"/>
      <c r="G5" s="150" t="n"/>
      <c r="H5" s="150" t="n"/>
      <c r="I5" s="150" t="n"/>
      <c r="J5" s="150" t="n"/>
      <c r="K5" s="150" t="n"/>
      <c r="L5" s="150" t="n"/>
      <c r="M5" s="150" t="n"/>
      <c r="N5" s="150" t="n"/>
      <c r="O5" s="150" t="n"/>
      <c r="P5" s="150" t="n"/>
      <c r="Q5" s="150" t="n"/>
      <c r="R5" s="150" t="n"/>
      <c r="S5" s="150" t="n"/>
      <c r="T5" s="150" t="n"/>
      <c r="U5" s="150" t="n"/>
      <c r="V5" s="150" t="n"/>
      <c r="W5" s="150" t="n"/>
      <c r="X5" s="150" t="n"/>
      <c r="Y5" s="150" t="n"/>
    </row>
    <row r="6" ht="15" customHeight="1" s="133">
      <c r="A6" s="146" t="inlineStr">
        <is>
          <t>CEO (Chad)</t>
        </is>
      </c>
      <c r="B6" s="225" t="n">
        <v>96000</v>
      </c>
      <c r="C6" s="226" t="n">
        <v>0.5</v>
      </c>
      <c r="D6" s="226" t="n">
        <v>1</v>
      </c>
      <c r="E6" s="226" t="n">
        <v>1</v>
      </c>
      <c r="F6" s="226" t="n">
        <v>1</v>
      </c>
      <c r="G6" s="226" t="n">
        <v>1</v>
      </c>
      <c r="H6" s="226" t="n">
        <v>1</v>
      </c>
      <c r="I6" s="226" t="n">
        <v>1</v>
      </c>
      <c r="J6" s="226" t="n">
        <v>1</v>
      </c>
      <c r="K6" s="226" t="n">
        <v>1</v>
      </c>
      <c r="L6" s="226" t="n">
        <v>1</v>
      </c>
      <c r="M6" s="226" t="n">
        <v>1</v>
      </c>
      <c r="N6" s="227" t="n">
        <v>1</v>
      </c>
      <c r="O6" s="227" t="n">
        <v>1</v>
      </c>
      <c r="P6" s="227" t="n">
        <v>1</v>
      </c>
      <c r="Q6" s="227" t="n">
        <v>1</v>
      </c>
      <c r="R6" s="227" t="n">
        <v>1</v>
      </c>
      <c r="S6" s="227" t="n">
        <v>1</v>
      </c>
      <c r="T6" s="227" t="n">
        <v>1</v>
      </c>
      <c r="U6" s="227" t="n">
        <v>1</v>
      </c>
      <c r="V6" s="227" t="n">
        <v>1</v>
      </c>
      <c r="W6" s="227" t="n">
        <v>1</v>
      </c>
      <c r="X6" s="227" t="n">
        <v>1</v>
      </c>
      <c r="Y6" s="228" t="n">
        <v>0</v>
      </c>
    </row>
    <row r="7" ht="15" customHeight="1" s="133">
      <c r="A7" s="146" t="inlineStr">
        <is>
          <t>CTO (Phase 1 hire)</t>
        </is>
      </c>
      <c r="B7" s="225" t="n">
        <v>180000</v>
      </c>
      <c r="C7" s="226" t="n">
        <v>0.5</v>
      </c>
      <c r="D7" s="226" t="n">
        <v>1</v>
      </c>
      <c r="E7" s="226" t="n">
        <v>1</v>
      </c>
      <c r="F7" s="226" t="n">
        <v>1</v>
      </c>
      <c r="G7" s="226" t="n">
        <v>1</v>
      </c>
      <c r="H7" s="226" t="n">
        <v>1</v>
      </c>
      <c r="I7" s="226" t="n">
        <v>1</v>
      </c>
      <c r="J7" s="226" t="n">
        <v>1</v>
      </c>
      <c r="K7" s="226" t="n">
        <v>1</v>
      </c>
      <c r="L7" s="226" t="n">
        <v>1</v>
      </c>
      <c r="M7" s="226" t="n">
        <v>1</v>
      </c>
      <c r="N7" s="227" t="n">
        <v>0</v>
      </c>
      <c r="O7" s="227" t="n">
        <v>0</v>
      </c>
      <c r="P7" s="227" t="n">
        <v>0</v>
      </c>
      <c r="Q7" s="227" t="n">
        <v>1</v>
      </c>
      <c r="R7" s="227" t="n">
        <v>1</v>
      </c>
      <c r="S7" s="227" t="n">
        <v>1</v>
      </c>
      <c r="T7" s="227" t="n">
        <v>1</v>
      </c>
      <c r="U7" s="227" t="n">
        <v>1</v>
      </c>
      <c r="V7" s="227" t="n">
        <v>1</v>
      </c>
      <c r="W7" s="227" t="n">
        <v>1</v>
      </c>
      <c r="X7" s="227" t="n">
        <v>1</v>
      </c>
      <c r="Y7" s="228" t="n">
        <v>0</v>
      </c>
    </row>
    <row r="8" ht="15" customHeight="1" s="133">
      <c r="A8" s="146" t="inlineStr">
        <is>
          <t>CCO (Chief Compliance) (Phase 2)</t>
        </is>
      </c>
      <c r="B8" s="225" t="n">
        <v>180000</v>
      </c>
      <c r="C8" s="226" t="n">
        <v>0</v>
      </c>
      <c r="D8" s="226" t="n">
        <v>0</v>
      </c>
      <c r="E8" s="226" t="n">
        <v>0</v>
      </c>
      <c r="F8" s="226" t="n">
        <v>1</v>
      </c>
      <c r="G8" s="226" t="n">
        <v>1</v>
      </c>
      <c r="H8" s="226" t="n">
        <v>1</v>
      </c>
      <c r="I8" s="226" t="n">
        <v>1</v>
      </c>
      <c r="J8" s="226" t="n">
        <v>1</v>
      </c>
      <c r="K8" s="226" t="n">
        <v>1</v>
      </c>
      <c r="L8" s="226" t="n">
        <v>1</v>
      </c>
      <c r="M8" s="226" t="n">
        <v>1</v>
      </c>
      <c r="N8" s="227" t="n">
        <v>0</v>
      </c>
      <c r="O8" s="227" t="n">
        <v>0</v>
      </c>
      <c r="P8" s="227" t="n">
        <v>0</v>
      </c>
      <c r="Q8" s="227" t="n">
        <v>1</v>
      </c>
      <c r="R8" s="227" t="n">
        <v>1</v>
      </c>
      <c r="S8" s="227" t="n">
        <v>1</v>
      </c>
      <c r="T8" s="227" t="n">
        <v>1</v>
      </c>
      <c r="U8" s="227" t="n">
        <v>1</v>
      </c>
      <c r="V8" s="227" t="n">
        <v>1</v>
      </c>
      <c r="W8" s="227" t="n">
        <v>1</v>
      </c>
      <c r="X8" s="227" t="n">
        <v>1</v>
      </c>
      <c r="Y8" s="228" t="n">
        <v>0</v>
      </c>
    </row>
    <row r="9" ht="15" customHeight="1" s="133">
      <c r="A9" s="146" t="inlineStr">
        <is>
          <t>CFO (Fractional -&gt; Full-time in Phase 2)</t>
        </is>
      </c>
      <c r="B9" s="225" t="n">
        <v>72000</v>
      </c>
      <c r="C9" s="226" t="n">
        <v>0.15</v>
      </c>
      <c r="D9" s="226" t="n">
        <v>0.3</v>
      </c>
      <c r="E9" s="226" t="n">
        <v>0.3</v>
      </c>
      <c r="F9" s="226" t="n">
        <v>1</v>
      </c>
      <c r="G9" s="226" t="n">
        <v>1</v>
      </c>
      <c r="H9" s="226" t="n">
        <v>1</v>
      </c>
      <c r="I9" s="226" t="n">
        <v>1</v>
      </c>
      <c r="J9" s="226" t="n">
        <v>1</v>
      </c>
      <c r="K9" s="226" t="n">
        <v>1</v>
      </c>
      <c r="L9" s="226" t="n">
        <v>1</v>
      </c>
      <c r="M9" s="226" t="n">
        <v>1</v>
      </c>
      <c r="N9" s="227" t="n">
        <v>1</v>
      </c>
      <c r="O9" s="227" t="n">
        <v>1</v>
      </c>
      <c r="P9" s="227" t="n">
        <v>1</v>
      </c>
      <c r="Q9" s="227" t="n">
        <v>1</v>
      </c>
      <c r="R9" s="227" t="n">
        <v>1</v>
      </c>
      <c r="S9" s="227" t="n">
        <v>1</v>
      </c>
      <c r="T9" s="227" t="n">
        <v>1</v>
      </c>
      <c r="U9" s="227" t="n">
        <v>1</v>
      </c>
      <c r="V9" s="227" t="n">
        <v>1</v>
      </c>
      <c r="W9" s="227" t="n">
        <v>1</v>
      </c>
      <c r="X9" s="227" t="n">
        <v>1</v>
      </c>
      <c r="Y9" s="228" t="n">
        <v>0</v>
      </c>
    </row>
    <row r="10" ht="15" customHeight="1" s="133">
      <c r="A10" s="146" t="inlineStr">
        <is>
          <t>General Counsel (Phase 2)</t>
        </is>
      </c>
      <c r="B10" s="225" t="n">
        <v>200000</v>
      </c>
      <c r="C10" s="226" t="n">
        <v>0</v>
      </c>
      <c r="D10" s="226" t="n">
        <v>0</v>
      </c>
      <c r="E10" s="226" t="n">
        <v>0</v>
      </c>
      <c r="F10" s="226" t="n">
        <v>1</v>
      </c>
      <c r="G10" s="226" t="n">
        <v>1</v>
      </c>
      <c r="H10" s="226" t="n">
        <v>1</v>
      </c>
      <c r="I10" s="226" t="n">
        <v>1</v>
      </c>
      <c r="J10" s="226" t="n">
        <v>1</v>
      </c>
      <c r="K10" s="226" t="n">
        <v>1</v>
      </c>
      <c r="L10" s="226" t="n">
        <v>1</v>
      </c>
      <c r="M10" s="226" t="n">
        <v>1</v>
      </c>
      <c r="N10" s="227" t="n">
        <v>0</v>
      </c>
      <c r="O10" s="227" t="n">
        <v>0</v>
      </c>
      <c r="P10" s="227" t="n">
        <v>0</v>
      </c>
      <c r="Q10" s="227" t="n">
        <v>1</v>
      </c>
      <c r="R10" s="227" t="n">
        <v>1</v>
      </c>
      <c r="S10" s="227" t="n">
        <v>1</v>
      </c>
      <c r="T10" s="227" t="n">
        <v>1</v>
      </c>
      <c r="U10" s="227" t="n">
        <v>1</v>
      </c>
      <c r="V10" s="227" t="n">
        <v>1</v>
      </c>
      <c r="W10" s="227" t="n">
        <v>1</v>
      </c>
      <c r="X10" s="227" t="n">
        <v>1</v>
      </c>
      <c r="Y10" s="228" t="n">
        <v>0</v>
      </c>
    </row>
    <row r="11" ht="15" customHeight="1" s="133">
      <c r="A11" s="145" t="inlineStr">
        <is>
          <t>ENGINEERING</t>
        </is>
      </c>
      <c r="B11" s="145" t="n"/>
      <c r="C11" s="145" t="n"/>
      <c r="D11" s="145" t="n"/>
      <c r="E11" s="145" t="n"/>
      <c r="F11" s="145" t="n"/>
      <c r="G11" s="145" t="n"/>
      <c r="H11" s="145" t="n"/>
      <c r="I11" s="145" t="n"/>
      <c r="J11" s="145" t="n"/>
      <c r="K11" s="145" t="n"/>
      <c r="L11" s="145" t="n"/>
      <c r="M11" s="145" t="n"/>
      <c r="N11" s="145" t="n"/>
      <c r="O11" s="145" t="n"/>
      <c r="P11" s="145" t="n"/>
      <c r="Q11" s="145" t="n"/>
      <c r="R11" s="145" t="n"/>
      <c r="S11" s="145" t="n"/>
      <c r="T11" s="145" t="n"/>
      <c r="U11" s="145" t="n"/>
      <c r="V11" s="145" t="n"/>
      <c r="W11" s="145" t="n"/>
      <c r="X11" s="145" t="n"/>
      <c r="Y11" s="145" t="n"/>
    </row>
    <row r="12" ht="15" customHeight="1" s="133">
      <c r="A12" s="146" t="inlineStr">
        <is>
          <t>Head Architect (Zed)</t>
        </is>
      </c>
      <c r="B12" s="225" t="n">
        <v>170000</v>
      </c>
      <c r="C12" s="226" t="n">
        <v>0.5</v>
      </c>
      <c r="D12" s="226" t="n">
        <v>1</v>
      </c>
      <c r="E12" s="226" t="n">
        <v>1</v>
      </c>
      <c r="F12" s="226" t="n">
        <v>1</v>
      </c>
      <c r="G12" s="226" t="n">
        <v>1</v>
      </c>
      <c r="H12" s="226" t="n">
        <v>1</v>
      </c>
      <c r="I12" s="226" t="n">
        <v>1</v>
      </c>
      <c r="J12" s="226" t="n">
        <v>1</v>
      </c>
      <c r="K12" s="226" t="n">
        <v>1</v>
      </c>
      <c r="L12" s="226" t="n">
        <v>1</v>
      </c>
      <c r="M12" s="226" t="n">
        <v>1</v>
      </c>
      <c r="N12" s="227" t="n">
        <v>1</v>
      </c>
      <c r="O12" s="227" t="n">
        <v>1</v>
      </c>
      <c r="P12" s="227" t="n">
        <v>1</v>
      </c>
      <c r="Q12" s="227" t="n">
        <v>1</v>
      </c>
      <c r="R12" s="227" t="n">
        <v>1</v>
      </c>
      <c r="S12" s="227" t="n">
        <v>1</v>
      </c>
      <c r="T12" s="227" t="n">
        <v>1</v>
      </c>
      <c r="U12" s="227" t="n">
        <v>1</v>
      </c>
      <c r="V12" s="227" t="n">
        <v>1</v>
      </c>
      <c r="W12" s="227" t="n">
        <v>1</v>
      </c>
      <c r="X12" s="227" t="n">
        <v>1</v>
      </c>
      <c r="Y12" s="228" t="n">
        <v>0</v>
      </c>
    </row>
    <row r="13" ht="15" customHeight="1" s="133">
      <c r="A13" s="146" t="inlineStr">
        <is>
          <t>Backend Developer (starts H2 2026 at 0.5 FTE)</t>
        </is>
      </c>
      <c r="B13" s="225" t="n">
        <v>145000</v>
      </c>
      <c r="C13" s="226" t="n">
        <v>0.5</v>
      </c>
      <c r="D13" s="226" t="n">
        <v>1</v>
      </c>
      <c r="E13" s="226" t="n">
        <v>1</v>
      </c>
      <c r="F13" s="226" t="n">
        <v>1</v>
      </c>
      <c r="G13" s="226" t="n">
        <v>1</v>
      </c>
      <c r="H13" s="226" t="n">
        <v>1</v>
      </c>
      <c r="I13" s="226" t="n">
        <v>1</v>
      </c>
      <c r="J13" s="226" t="n">
        <v>1</v>
      </c>
      <c r="K13" s="226" t="n">
        <v>1</v>
      </c>
      <c r="L13" s="226" t="n">
        <v>1</v>
      </c>
      <c r="M13" s="226" t="n">
        <v>1</v>
      </c>
      <c r="N13" s="227" t="n">
        <v>0</v>
      </c>
      <c r="O13" s="227" t="n">
        <v>1</v>
      </c>
      <c r="P13" s="227" t="n">
        <v>1</v>
      </c>
      <c r="Q13" s="227" t="n">
        <v>2</v>
      </c>
      <c r="R13" s="227" t="n">
        <v>2</v>
      </c>
      <c r="S13" s="227" t="n">
        <v>2</v>
      </c>
      <c r="T13" s="227" t="n">
        <v>2</v>
      </c>
      <c r="U13" s="227" t="n">
        <v>2</v>
      </c>
      <c r="V13" s="227" t="n">
        <v>2</v>
      </c>
      <c r="W13" s="227" t="n">
        <v>2</v>
      </c>
      <c r="X13" s="227" t="n">
        <v>2</v>
      </c>
      <c r="Y13" s="228" t="n">
        <v>0</v>
      </c>
    </row>
    <row r="14" ht="15" customHeight="1" s="133">
      <c r="A14" s="146" t="inlineStr">
        <is>
          <t>Backend Developer #2 (Phase 2)</t>
        </is>
      </c>
      <c r="B14" s="225" t="n">
        <v>145000</v>
      </c>
      <c r="C14" s="229" t="n">
        <v>0</v>
      </c>
      <c r="D14" s="229" t="n">
        <v>0</v>
      </c>
      <c r="E14" s="229" t="n">
        <v>0</v>
      </c>
      <c r="F14" s="226" t="n">
        <v>1</v>
      </c>
      <c r="G14" s="226" t="n">
        <v>1</v>
      </c>
      <c r="H14" s="226" t="n">
        <v>1</v>
      </c>
      <c r="I14" s="226" t="n">
        <v>1</v>
      </c>
      <c r="J14" s="226" t="n">
        <v>1</v>
      </c>
      <c r="K14" s="226" t="n">
        <v>1</v>
      </c>
      <c r="L14" s="226" t="n">
        <v>1</v>
      </c>
      <c r="M14" s="226" t="n">
        <v>1</v>
      </c>
      <c r="N14" s="227" t="n">
        <v>1</v>
      </c>
      <c r="O14" s="227" t="n">
        <v>1</v>
      </c>
      <c r="P14" s="227" t="n">
        <v>1</v>
      </c>
      <c r="Q14" s="227" t="n">
        <v>1</v>
      </c>
      <c r="R14" s="227" t="n">
        <v>1</v>
      </c>
      <c r="S14" s="227" t="n">
        <v>1</v>
      </c>
      <c r="T14" s="227" t="n">
        <v>1</v>
      </c>
      <c r="U14" s="227" t="n">
        <v>1</v>
      </c>
      <c r="V14" s="227" t="n">
        <v>1</v>
      </c>
      <c r="W14" s="227" t="n">
        <v>1</v>
      </c>
      <c r="X14" s="227" t="n">
        <v>1</v>
      </c>
      <c r="Y14" s="202" t="n">
        <v>0.272727272727273</v>
      </c>
    </row>
    <row r="15" ht="15" customHeight="1" s="133">
      <c r="A15" s="146" t="inlineStr">
        <is>
          <t>Frontend Developer #1 (Phase 2)</t>
        </is>
      </c>
      <c r="B15" s="225" t="n">
        <v>130000</v>
      </c>
      <c r="C15" s="226" t="n">
        <v>0</v>
      </c>
      <c r="D15" s="226" t="n">
        <v>0</v>
      </c>
      <c r="E15" s="226" t="n">
        <v>0</v>
      </c>
      <c r="F15" s="226" t="n">
        <v>1</v>
      </c>
      <c r="G15" s="226" t="n">
        <v>1</v>
      </c>
      <c r="H15" s="226" t="n">
        <v>1</v>
      </c>
      <c r="I15" s="226" t="n">
        <v>1</v>
      </c>
      <c r="J15" s="226" t="n">
        <v>1</v>
      </c>
      <c r="K15" s="226" t="n">
        <v>1</v>
      </c>
      <c r="L15" s="226" t="n">
        <v>1</v>
      </c>
      <c r="M15" s="226" t="n">
        <v>1</v>
      </c>
      <c r="N15" s="227" t="n">
        <v>0</v>
      </c>
      <c r="O15" s="227" t="n">
        <v>0</v>
      </c>
      <c r="P15" s="227" t="n">
        <v>0</v>
      </c>
      <c r="Q15" s="227" t="n">
        <v>1</v>
      </c>
      <c r="R15" s="227" t="n">
        <v>1</v>
      </c>
      <c r="S15" s="227" t="n">
        <v>1</v>
      </c>
      <c r="T15" s="227" t="n">
        <v>1</v>
      </c>
      <c r="U15" s="227" t="n">
        <v>1</v>
      </c>
      <c r="V15" s="227" t="n">
        <v>1</v>
      </c>
      <c r="W15" s="227" t="n">
        <v>1</v>
      </c>
      <c r="X15" s="227" t="n">
        <v>1</v>
      </c>
      <c r="Y15" s="228" t="n">
        <v>0</v>
      </c>
    </row>
    <row r="16" ht="15" customHeight="1" s="133">
      <c r="A16" s="146" t="inlineStr">
        <is>
          <t>Frontend Developer #2</t>
        </is>
      </c>
      <c r="B16" s="225" t="n">
        <v>130000</v>
      </c>
      <c r="C16" s="229" t="n">
        <v>0</v>
      </c>
      <c r="D16" s="229" t="n">
        <v>0</v>
      </c>
      <c r="E16" s="229" t="n">
        <v>0</v>
      </c>
      <c r="F16" s="229" t="n">
        <v>0</v>
      </c>
      <c r="G16" s="229" t="n">
        <v>0</v>
      </c>
      <c r="H16" s="226" t="n">
        <v>1</v>
      </c>
      <c r="I16" s="226" t="n">
        <v>1</v>
      </c>
      <c r="J16" s="226" t="n">
        <v>1</v>
      </c>
      <c r="K16" s="226" t="n">
        <v>1</v>
      </c>
      <c r="L16" s="226" t="n">
        <v>1</v>
      </c>
      <c r="M16" s="226" t="n">
        <v>1</v>
      </c>
      <c r="N16" s="227" t="n">
        <v>1</v>
      </c>
      <c r="O16" s="227" t="n">
        <v>1</v>
      </c>
      <c r="P16" s="227" t="n">
        <v>1</v>
      </c>
      <c r="Q16" s="227" t="n">
        <v>1</v>
      </c>
      <c r="R16" s="227" t="n">
        <v>1</v>
      </c>
      <c r="S16" s="227" t="n">
        <v>1</v>
      </c>
      <c r="T16" s="227" t="n">
        <v>1</v>
      </c>
      <c r="U16" s="227" t="n">
        <v>1</v>
      </c>
      <c r="V16" s="227" t="n">
        <v>1</v>
      </c>
      <c r="W16" s="227" t="n">
        <v>1</v>
      </c>
      <c r="X16" s="227" t="n">
        <v>1</v>
      </c>
      <c r="Y16" s="202" t="n">
        <v>0.454545454545455</v>
      </c>
    </row>
    <row r="17" ht="15" customHeight="1" s="133">
      <c r="A17" s="146" t="inlineStr">
        <is>
          <t>Smart Contract Developer (starts H2 2026 at 0.5 FTE)</t>
        </is>
      </c>
      <c r="B17" s="225" t="n">
        <v>145000</v>
      </c>
      <c r="C17" s="226" t="n">
        <v>0.5</v>
      </c>
      <c r="D17" s="226" t="n">
        <v>1</v>
      </c>
      <c r="E17" s="226" t="n">
        <v>1</v>
      </c>
      <c r="F17" s="226" t="n">
        <v>1</v>
      </c>
      <c r="G17" s="226" t="n">
        <v>1</v>
      </c>
      <c r="H17" s="226" t="n">
        <v>1</v>
      </c>
      <c r="I17" s="226" t="n">
        <v>1</v>
      </c>
      <c r="J17" s="226" t="n">
        <v>1</v>
      </c>
      <c r="K17" s="226" t="n">
        <v>1</v>
      </c>
      <c r="L17" s="226" t="n">
        <v>1</v>
      </c>
      <c r="M17" s="226" t="n">
        <v>1</v>
      </c>
      <c r="N17" s="227" t="n">
        <v>1</v>
      </c>
      <c r="O17" s="227" t="n">
        <v>1</v>
      </c>
      <c r="P17" s="227" t="n">
        <v>1</v>
      </c>
      <c r="Q17" s="227" t="n">
        <v>1</v>
      </c>
      <c r="R17" s="227" t="n">
        <v>1</v>
      </c>
      <c r="S17" s="227" t="n">
        <v>1</v>
      </c>
      <c r="T17" s="227" t="n">
        <v>1</v>
      </c>
      <c r="U17" s="227" t="n">
        <v>1</v>
      </c>
      <c r="V17" s="227" t="n">
        <v>1</v>
      </c>
      <c r="W17" s="227" t="n">
        <v>1</v>
      </c>
      <c r="X17" s="227" t="n">
        <v>1</v>
      </c>
      <c r="Y17" s="202" t="n">
        <v>0.0454545454545454</v>
      </c>
    </row>
    <row r="18" ht="15" customHeight="1" s="133">
      <c r="A18" s="146" t="inlineStr">
        <is>
          <t>DevOps / Infrastructure (0.5 FTE from H1 2027)</t>
        </is>
      </c>
      <c r="B18" s="225" t="n">
        <v>140000</v>
      </c>
      <c r="C18" s="226" t="n">
        <v>0</v>
      </c>
      <c r="D18" s="226" t="n">
        <v>0.5</v>
      </c>
      <c r="E18" s="226" t="n">
        <v>0.5</v>
      </c>
      <c r="F18" s="226" t="n">
        <v>1</v>
      </c>
      <c r="G18" s="226" t="n">
        <v>1</v>
      </c>
      <c r="H18" s="226" t="n">
        <v>1</v>
      </c>
      <c r="I18" s="226" t="n">
        <v>1</v>
      </c>
      <c r="J18" s="226" t="n">
        <v>1</v>
      </c>
      <c r="K18" s="226" t="n">
        <v>1</v>
      </c>
      <c r="L18" s="226" t="n">
        <v>1</v>
      </c>
      <c r="M18" s="226" t="n">
        <v>1</v>
      </c>
      <c r="N18" s="227" t="n">
        <v>0</v>
      </c>
      <c r="O18" s="227" t="n">
        <v>1</v>
      </c>
      <c r="P18" s="227" t="n">
        <v>1</v>
      </c>
      <c r="Q18" s="227" t="n">
        <v>1</v>
      </c>
      <c r="R18" s="227" t="n">
        <v>1</v>
      </c>
      <c r="S18" s="227" t="n">
        <v>1</v>
      </c>
      <c r="T18" s="227" t="n">
        <v>1</v>
      </c>
      <c r="U18" s="227" t="n">
        <v>1</v>
      </c>
      <c r="V18" s="227" t="n">
        <v>1</v>
      </c>
      <c r="W18" s="227" t="n">
        <v>1</v>
      </c>
      <c r="X18" s="227" t="n">
        <v>1</v>
      </c>
      <c r="Y18" s="202" t="n">
        <v>0.136363636363636</v>
      </c>
    </row>
    <row r="19" ht="15" customHeight="1" s="133">
      <c r="A19" s="146" t="inlineStr">
        <is>
          <t>Security Engineer (Phase 2)</t>
        </is>
      </c>
      <c r="B19" s="225" t="n">
        <v>150000</v>
      </c>
      <c r="C19" s="229" t="n">
        <v>0</v>
      </c>
      <c r="D19" s="226" t="n">
        <v>0</v>
      </c>
      <c r="E19" s="226" t="n">
        <v>0</v>
      </c>
      <c r="F19" s="226" t="n">
        <v>1</v>
      </c>
      <c r="G19" s="226" t="n">
        <v>1</v>
      </c>
      <c r="H19" s="226" t="n">
        <v>1</v>
      </c>
      <c r="I19" s="226" t="n">
        <v>1</v>
      </c>
      <c r="J19" s="226" t="n">
        <v>1</v>
      </c>
      <c r="K19" s="226" t="n">
        <v>1</v>
      </c>
      <c r="L19" s="226" t="n">
        <v>1</v>
      </c>
      <c r="M19" s="226" t="n">
        <v>1</v>
      </c>
      <c r="N19" s="227" t="n">
        <v>0</v>
      </c>
      <c r="O19" s="227" t="n">
        <v>0</v>
      </c>
      <c r="P19" s="227" t="n">
        <v>0</v>
      </c>
      <c r="Q19" s="227" t="n">
        <v>1</v>
      </c>
      <c r="R19" s="227" t="n">
        <v>1</v>
      </c>
      <c r="S19" s="227" t="n">
        <v>1</v>
      </c>
      <c r="T19" s="227" t="n">
        <v>1</v>
      </c>
      <c r="U19" s="227" t="n">
        <v>1</v>
      </c>
      <c r="V19" s="227" t="n">
        <v>1</v>
      </c>
      <c r="W19" s="227" t="n">
        <v>1</v>
      </c>
      <c r="X19" s="227" t="n">
        <v>1</v>
      </c>
      <c r="Y19" s="202" t="n">
        <v>0.181818181818182</v>
      </c>
    </row>
    <row r="20" ht="15" customHeight="1" s="133">
      <c r="A20" s="146" t="inlineStr">
        <is>
          <t>QA / Test Engineer</t>
        </is>
      </c>
      <c r="B20" s="225" t="n">
        <v>105000</v>
      </c>
      <c r="C20" s="229" t="n">
        <v>0</v>
      </c>
      <c r="D20" s="229" t="n">
        <v>0</v>
      </c>
      <c r="E20" s="229" t="n">
        <v>0</v>
      </c>
      <c r="F20" s="229" t="n">
        <v>0</v>
      </c>
      <c r="G20" s="229" t="n">
        <v>0</v>
      </c>
      <c r="H20" s="226" t="n">
        <v>1</v>
      </c>
      <c r="I20" s="226" t="n">
        <v>1</v>
      </c>
      <c r="J20" s="226" t="n">
        <v>1</v>
      </c>
      <c r="K20" s="226" t="n">
        <v>1</v>
      </c>
      <c r="L20" s="226" t="n">
        <v>1</v>
      </c>
      <c r="M20" s="226" t="n">
        <v>1</v>
      </c>
      <c r="N20" s="227" t="n">
        <v>1</v>
      </c>
      <c r="O20" s="227" t="n">
        <v>1</v>
      </c>
      <c r="P20" s="227" t="n">
        <v>1</v>
      </c>
      <c r="Q20" s="227" t="n">
        <v>1</v>
      </c>
      <c r="R20" s="227" t="n">
        <v>1</v>
      </c>
      <c r="S20" s="227" t="n">
        <v>1</v>
      </c>
      <c r="T20" s="227" t="n">
        <v>1</v>
      </c>
      <c r="U20" s="227" t="n">
        <v>1</v>
      </c>
      <c r="V20" s="227" t="n">
        <v>1</v>
      </c>
      <c r="W20" s="227" t="n">
        <v>1</v>
      </c>
      <c r="X20" s="227" t="n">
        <v>1</v>
      </c>
      <c r="Y20" s="202" t="n">
        <v>0.454545454545455</v>
      </c>
    </row>
    <row r="21" ht="15" customHeight="1" s="133">
      <c r="A21" s="146" t="inlineStr">
        <is>
          <t>Data Engineer</t>
        </is>
      </c>
      <c r="B21" s="225" t="n">
        <v>130000</v>
      </c>
      <c r="C21" s="229" t="n">
        <v>0</v>
      </c>
      <c r="D21" s="229" t="n">
        <v>0</v>
      </c>
      <c r="E21" s="229" t="n">
        <v>0</v>
      </c>
      <c r="F21" s="229" t="n">
        <v>0</v>
      </c>
      <c r="G21" s="229" t="n">
        <v>0</v>
      </c>
      <c r="H21" s="229" t="n">
        <v>0</v>
      </c>
      <c r="I21" s="229" t="n">
        <v>0</v>
      </c>
      <c r="J21" s="226" t="n">
        <v>1</v>
      </c>
      <c r="K21" s="226" t="n">
        <v>1</v>
      </c>
      <c r="L21" s="226" t="n">
        <v>1</v>
      </c>
      <c r="M21" s="226" t="n">
        <v>1</v>
      </c>
      <c r="N21" s="229" t="n">
        <v>0</v>
      </c>
      <c r="O21" s="227" t="n">
        <v>1</v>
      </c>
      <c r="P21" s="227" t="n">
        <v>1</v>
      </c>
      <c r="Q21" s="227" t="n">
        <v>1</v>
      </c>
      <c r="R21" s="227" t="n">
        <v>1</v>
      </c>
      <c r="S21" s="227" t="n">
        <v>1</v>
      </c>
      <c r="T21" s="227" t="n">
        <v>1</v>
      </c>
      <c r="U21" s="227" t="n">
        <v>1</v>
      </c>
      <c r="V21" s="227" t="n">
        <v>1</v>
      </c>
      <c r="W21" s="227" t="n">
        <v>1</v>
      </c>
      <c r="X21" s="227" t="n">
        <v>1</v>
      </c>
      <c r="Y21" s="202" t="n">
        <v>0.6</v>
      </c>
    </row>
    <row r="22" ht="15" customHeight="1" s="133">
      <c r="A22" s="146" t="inlineStr">
        <is>
          <t>UX / UI Designer</t>
        </is>
      </c>
      <c r="B22" s="225" t="n">
        <v>120000</v>
      </c>
      <c r="C22" s="229" t="n">
        <v>0</v>
      </c>
      <c r="D22" s="229" t="n">
        <v>0</v>
      </c>
      <c r="E22" s="229" t="n">
        <v>0</v>
      </c>
      <c r="F22" s="229" t="n">
        <v>0</v>
      </c>
      <c r="G22" s="229" t="n">
        <v>0</v>
      </c>
      <c r="H22" s="229" t="n">
        <v>0</v>
      </c>
      <c r="I22" s="229" t="n">
        <v>0</v>
      </c>
      <c r="J22" s="229" t="n">
        <v>0</v>
      </c>
      <c r="K22" s="229" t="n">
        <v>0</v>
      </c>
      <c r="L22" s="229" t="n">
        <v>0</v>
      </c>
      <c r="M22" s="229" t="n">
        <v>0</v>
      </c>
      <c r="N22" s="227" t="n">
        <v>1</v>
      </c>
      <c r="O22" s="227" t="n">
        <v>1</v>
      </c>
      <c r="P22" s="227" t="n">
        <v>1</v>
      </c>
      <c r="Q22" s="227" t="n">
        <v>1</v>
      </c>
      <c r="R22" s="227" t="n">
        <v>1</v>
      </c>
      <c r="S22" s="227" t="n">
        <v>1</v>
      </c>
      <c r="T22" s="227" t="n">
        <v>1</v>
      </c>
      <c r="U22" s="227" t="n">
        <v>1</v>
      </c>
      <c r="V22" s="227" t="n">
        <v>1</v>
      </c>
      <c r="W22" s="227" t="n">
        <v>1</v>
      </c>
      <c r="X22" s="227" t="n">
        <v>1</v>
      </c>
      <c r="Y22" s="202" t="n">
        <v>1</v>
      </c>
    </row>
    <row r="23" ht="15" customHeight="1" s="133">
      <c r="A23" s="146" t="inlineStr">
        <is>
          <t>Data Analyst</t>
        </is>
      </c>
      <c r="B23" s="225" t="n">
        <v>110000</v>
      </c>
      <c r="C23" s="229" t="n">
        <v>0</v>
      </c>
      <c r="D23" s="229" t="n">
        <v>0</v>
      </c>
      <c r="E23" s="229" t="n">
        <v>0</v>
      </c>
      <c r="F23" s="229" t="n">
        <v>0</v>
      </c>
      <c r="G23" s="229" t="n">
        <v>0</v>
      </c>
      <c r="H23" s="229" t="n">
        <v>0</v>
      </c>
      <c r="I23" s="229" t="n">
        <v>0</v>
      </c>
      <c r="J23" s="229" t="n">
        <v>0</v>
      </c>
      <c r="K23" s="229" t="n">
        <v>0</v>
      </c>
      <c r="L23" s="229" t="n">
        <v>0</v>
      </c>
      <c r="M23" s="229" t="n">
        <v>0</v>
      </c>
      <c r="N23" s="229" t="n">
        <v>0</v>
      </c>
      <c r="O23" s="229" t="n">
        <v>0</v>
      </c>
      <c r="P23" s="229" t="n">
        <v>0</v>
      </c>
      <c r="Q23" s="227" t="n">
        <v>1</v>
      </c>
      <c r="R23" s="227" t="n">
        <v>1</v>
      </c>
      <c r="S23" s="227" t="n">
        <v>1</v>
      </c>
      <c r="T23" s="227" t="n">
        <v>1</v>
      </c>
      <c r="U23" s="227" t="n">
        <v>1</v>
      </c>
      <c r="V23" s="227" t="n">
        <v>1</v>
      </c>
      <c r="W23" s="227" t="n">
        <v>1</v>
      </c>
      <c r="X23" s="227" t="n">
        <v>1</v>
      </c>
      <c r="Y23" s="202" t="n">
        <v>1</v>
      </c>
    </row>
    <row r="24" ht="15" customHeight="1" s="133">
      <c r="A24" s="151" t="inlineStr">
        <is>
          <t>COMPLIANCE &amp; LEGAL</t>
        </is>
      </c>
      <c r="B24" s="151" t="n"/>
      <c r="C24" s="151" t="n"/>
      <c r="D24" s="151" t="n"/>
      <c r="E24" s="151" t="n"/>
      <c r="F24" s="151" t="n"/>
      <c r="G24" s="151" t="n"/>
      <c r="H24" s="151" t="n"/>
      <c r="I24" s="151" t="n"/>
      <c r="J24" s="151" t="n"/>
      <c r="K24" s="151" t="n"/>
      <c r="L24" s="151" t="n"/>
      <c r="M24" s="151" t="n"/>
      <c r="N24" s="151" t="n"/>
      <c r="O24" s="151" t="n"/>
      <c r="P24" s="151" t="n"/>
      <c r="Q24" s="151" t="n"/>
      <c r="R24" s="151" t="n"/>
      <c r="S24" s="151" t="n"/>
      <c r="T24" s="151" t="n"/>
      <c r="U24" s="151" t="n"/>
      <c r="V24" s="151" t="n"/>
      <c r="W24" s="151" t="n"/>
      <c r="X24" s="151" t="n"/>
      <c r="Y24" s="151" t="n"/>
    </row>
    <row r="25" ht="15" customHeight="1" s="133">
      <c r="A25" s="146" t="inlineStr">
        <is>
          <t>Compliance Analyst #1 (Phase 2)</t>
        </is>
      </c>
      <c r="B25" s="225" t="n">
        <v>85000</v>
      </c>
      <c r="C25" s="226" t="n">
        <v>0</v>
      </c>
      <c r="D25" s="226" t="n">
        <v>0</v>
      </c>
      <c r="E25" s="226" t="n">
        <v>0</v>
      </c>
      <c r="F25" s="226" t="n">
        <v>1</v>
      </c>
      <c r="G25" s="226" t="n">
        <v>1</v>
      </c>
      <c r="H25" s="226" t="n">
        <v>1</v>
      </c>
      <c r="I25" s="226" t="n">
        <v>1</v>
      </c>
      <c r="J25" s="226" t="n">
        <v>1</v>
      </c>
      <c r="K25" s="226" t="n">
        <v>1</v>
      </c>
      <c r="L25" s="226" t="n">
        <v>1</v>
      </c>
      <c r="M25" s="226" t="n">
        <v>1</v>
      </c>
      <c r="N25" s="227" t="n">
        <v>0</v>
      </c>
      <c r="O25" s="227" t="n">
        <v>0</v>
      </c>
      <c r="P25" s="227" t="n">
        <v>0</v>
      </c>
      <c r="Q25" s="227" t="n">
        <v>1</v>
      </c>
      <c r="R25" s="227" t="n">
        <v>1</v>
      </c>
      <c r="S25" s="227" t="n">
        <v>1</v>
      </c>
      <c r="T25" s="227" t="n">
        <v>1</v>
      </c>
      <c r="U25" s="227" t="n">
        <v>1</v>
      </c>
      <c r="V25" s="227" t="n">
        <v>1</v>
      </c>
      <c r="W25" s="227" t="n">
        <v>1</v>
      </c>
      <c r="X25" s="227" t="n">
        <v>1</v>
      </c>
      <c r="Y25" s="228" t="n">
        <v>0</v>
      </c>
    </row>
    <row r="26" ht="15" customHeight="1" s="133">
      <c r="A26" s="146" t="inlineStr">
        <is>
          <t>Compliance Analyst #2</t>
        </is>
      </c>
      <c r="B26" s="225" t="n">
        <v>85000</v>
      </c>
      <c r="C26" s="229" t="n">
        <v>0</v>
      </c>
      <c r="D26" s="229" t="n">
        <v>0</v>
      </c>
      <c r="E26" s="229" t="n">
        <v>0</v>
      </c>
      <c r="F26" s="226" t="n">
        <v>1</v>
      </c>
      <c r="G26" s="226" t="n">
        <v>1</v>
      </c>
      <c r="H26" s="226" t="n">
        <v>1</v>
      </c>
      <c r="I26" s="226" t="n">
        <v>1</v>
      </c>
      <c r="J26" s="226" t="n">
        <v>1</v>
      </c>
      <c r="K26" s="226" t="n">
        <v>1</v>
      </c>
      <c r="L26" s="226" t="n">
        <v>1</v>
      </c>
      <c r="M26" s="226" t="n">
        <v>1</v>
      </c>
      <c r="N26" s="229" t="n">
        <v>0</v>
      </c>
      <c r="O26" s="227" t="n">
        <v>1</v>
      </c>
      <c r="P26" s="227" t="n">
        <v>1</v>
      </c>
      <c r="Q26" s="227" t="n">
        <v>1</v>
      </c>
      <c r="R26" s="227" t="n">
        <v>1</v>
      </c>
      <c r="S26" s="227" t="n">
        <v>1</v>
      </c>
      <c r="T26" s="227" t="n">
        <v>1</v>
      </c>
      <c r="U26" s="227" t="n">
        <v>1</v>
      </c>
      <c r="V26" s="227" t="n">
        <v>1</v>
      </c>
      <c r="W26" s="227" t="n">
        <v>1</v>
      </c>
      <c r="X26" s="227" t="n">
        <v>1</v>
      </c>
      <c r="Y26" s="202" t="n">
        <v>0.2</v>
      </c>
    </row>
    <row r="27" ht="15" customHeight="1" s="133">
      <c r="A27" s="146" t="inlineStr">
        <is>
          <t>AML/KYC Specialist</t>
        </is>
      </c>
      <c r="B27" s="225" t="n">
        <v>95000</v>
      </c>
      <c r="C27" s="229" t="n">
        <v>0</v>
      </c>
      <c r="D27" s="229" t="n">
        <v>0</v>
      </c>
      <c r="E27" s="229" t="n">
        <v>0</v>
      </c>
      <c r="F27" s="229" t="n">
        <v>0</v>
      </c>
      <c r="G27" s="229" t="n">
        <v>0</v>
      </c>
      <c r="H27" s="226" t="n">
        <v>1</v>
      </c>
      <c r="I27" s="226" t="n">
        <v>1</v>
      </c>
      <c r="J27" s="226" t="n">
        <v>1</v>
      </c>
      <c r="K27" s="226" t="n">
        <v>1</v>
      </c>
      <c r="L27" s="226" t="n">
        <v>1</v>
      </c>
      <c r="M27" s="226" t="n">
        <v>1</v>
      </c>
      <c r="N27" s="229" t="n">
        <v>0</v>
      </c>
      <c r="O27" s="229" t="n">
        <v>0</v>
      </c>
      <c r="P27" s="229" t="n">
        <v>0</v>
      </c>
      <c r="Q27" s="227" t="n">
        <v>1</v>
      </c>
      <c r="R27" s="227" t="n">
        <v>1</v>
      </c>
      <c r="S27" s="227" t="n">
        <v>1</v>
      </c>
      <c r="T27" s="227" t="n">
        <v>1</v>
      </c>
      <c r="U27" s="227" t="n">
        <v>1</v>
      </c>
      <c r="V27" s="227" t="n">
        <v>1</v>
      </c>
      <c r="W27" s="227" t="n">
        <v>1</v>
      </c>
      <c r="X27" s="227" t="n">
        <v>1</v>
      </c>
      <c r="Y27" s="202" t="n">
        <v>0.25</v>
      </c>
    </row>
    <row r="28" ht="15" customHeight="1" s="133">
      <c r="A28" s="146" t="inlineStr">
        <is>
          <t>Paralegal / Reg Filing</t>
        </is>
      </c>
      <c r="B28" s="225" t="n">
        <v>75000</v>
      </c>
      <c r="C28" s="229" t="n">
        <v>0</v>
      </c>
      <c r="D28" s="229" t="n">
        <v>0</v>
      </c>
      <c r="E28" s="229" t="n">
        <v>0</v>
      </c>
      <c r="F28" s="229" t="n">
        <v>0</v>
      </c>
      <c r="G28" s="229" t="n">
        <v>0</v>
      </c>
      <c r="H28" s="226" t="n">
        <v>1</v>
      </c>
      <c r="I28" s="226" t="n">
        <v>1</v>
      </c>
      <c r="J28" s="226" t="n">
        <v>1</v>
      </c>
      <c r="K28" s="226" t="n">
        <v>1</v>
      </c>
      <c r="L28" s="226" t="n">
        <v>1</v>
      </c>
      <c r="M28" s="226" t="n">
        <v>1</v>
      </c>
      <c r="N28" s="229" t="n">
        <v>0</v>
      </c>
      <c r="O28" s="229" t="n">
        <v>0</v>
      </c>
      <c r="P28" s="229" t="n">
        <v>0</v>
      </c>
      <c r="Q28" s="229" t="n">
        <v>0</v>
      </c>
      <c r="R28" s="229" t="n">
        <v>0</v>
      </c>
      <c r="S28" s="227" t="n">
        <v>1</v>
      </c>
      <c r="T28" s="227" t="n">
        <v>1</v>
      </c>
      <c r="U28" s="227" t="n">
        <v>1</v>
      </c>
      <c r="V28" s="227" t="n">
        <v>1</v>
      </c>
      <c r="W28" s="227" t="n">
        <v>1</v>
      </c>
      <c r="X28" s="227" t="n">
        <v>1</v>
      </c>
      <c r="Y28" s="228" t="n">
        <v>0</v>
      </c>
    </row>
    <row r="29" ht="15" customHeight="1" s="133">
      <c r="A29" s="164" t="inlineStr">
        <is>
          <t>OPERATIONS &amp; BUSINESS</t>
        </is>
      </c>
      <c r="B29" s="164" t="n"/>
      <c r="C29" s="164" t="n"/>
      <c r="D29" s="164" t="n"/>
      <c r="E29" s="164" t="n"/>
      <c r="F29" s="164" t="n"/>
      <c r="G29" s="164" t="n"/>
      <c r="H29" s="164" t="n"/>
      <c r="I29" s="164" t="n"/>
      <c r="J29" s="164" t="n"/>
      <c r="K29" s="164" t="n"/>
      <c r="L29" s="164" t="n"/>
      <c r="M29" s="164" t="n"/>
      <c r="N29" s="164" t="n"/>
      <c r="O29" s="164" t="n"/>
      <c r="P29" s="164" t="n"/>
      <c r="Q29" s="164" t="n"/>
      <c r="R29" s="164" t="n"/>
      <c r="S29" s="164" t="n"/>
      <c r="T29" s="164" t="n"/>
      <c r="U29" s="164" t="n"/>
      <c r="V29" s="164" t="n"/>
      <c r="W29" s="164" t="n"/>
      <c r="X29" s="164" t="n"/>
      <c r="Y29" s="164" t="n"/>
    </row>
    <row r="30" ht="15" customHeight="1" s="133">
      <c r="A30" s="146" t="inlineStr">
        <is>
          <t>Head of Business Dev (Phase 2)</t>
        </is>
      </c>
      <c r="B30" s="225" t="n">
        <v>140000</v>
      </c>
      <c r="C30" s="229" t="n">
        <v>0</v>
      </c>
      <c r="D30" s="226" t="n">
        <v>0</v>
      </c>
      <c r="E30" s="226" t="n">
        <v>0</v>
      </c>
      <c r="F30" s="226" t="n">
        <v>1</v>
      </c>
      <c r="G30" s="226" t="n">
        <v>1</v>
      </c>
      <c r="H30" s="226" t="n">
        <v>1</v>
      </c>
      <c r="I30" s="226" t="n">
        <v>1</v>
      </c>
      <c r="J30" s="226" t="n">
        <v>1</v>
      </c>
      <c r="K30" s="226" t="n">
        <v>1</v>
      </c>
      <c r="L30" s="226" t="n">
        <v>1</v>
      </c>
      <c r="M30" s="226" t="n">
        <v>1</v>
      </c>
      <c r="N30" s="229" t="n">
        <v>0</v>
      </c>
      <c r="O30" s="227" t="n">
        <v>0</v>
      </c>
      <c r="P30" s="227" t="n">
        <v>0</v>
      </c>
      <c r="Q30" s="227" t="n">
        <v>1</v>
      </c>
      <c r="R30" s="227" t="n">
        <v>1</v>
      </c>
      <c r="S30" s="227" t="n">
        <v>1</v>
      </c>
      <c r="T30" s="227" t="n">
        <v>1</v>
      </c>
      <c r="U30" s="227" t="n">
        <v>1</v>
      </c>
      <c r="V30" s="227" t="n">
        <v>1</v>
      </c>
      <c r="W30" s="227" t="n">
        <v>1</v>
      </c>
      <c r="X30" s="227" t="n">
        <v>1</v>
      </c>
      <c r="Y30" s="228" t="n">
        <v>0</v>
      </c>
    </row>
    <row r="31" ht="15" customHeight="1" s="133">
      <c r="A31" s="146" t="inlineStr">
        <is>
          <t>Marketing Manager</t>
        </is>
      </c>
      <c r="B31" s="225" t="n">
        <v>110000</v>
      </c>
      <c r="C31" s="229" t="n">
        <v>0</v>
      </c>
      <c r="D31" s="229" t="n">
        <v>0</v>
      </c>
      <c r="E31" s="229" t="n">
        <v>0</v>
      </c>
      <c r="F31" s="226" t="n">
        <v>1</v>
      </c>
      <c r="G31" s="226" t="n">
        <v>1</v>
      </c>
      <c r="H31" s="226" t="n">
        <v>1</v>
      </c>
      <c r="I31" s="226" t="n">
        <v>1</v>
      </c>
      <c r="J31" s="226" t="n">
        <v>1</v>
      </c>
      <c r="K31" s="226" t="n">
        <v>1</v>
      </c>
      <c r="L31" s="226" t="n">
        <v>1</v>
      </c>
      <c r="M31" s="226" t="n">
        <v>1</v>
      </c>
      <c r="N31" s="229" t="n">
        <v>0</v>
      </c>
      <c r="O31" s="229" t="n">
        <v>0</v>
      </c>
      <c r="P31" s="229" t="n">
        <v>0</v>
      </c>
      <c r="Q31" s="227" t="n">
        <v>1</v>
      </c>
      <c r="R31" s="227" t="n">
        <v>1</v>
      </c>
      <c r="S31" s="227" t="n">
        <v>1</v>
      </c>
      <c r="T31" s="227" t="n">
        <v>1</v>
      </c>
      <c r="U31" s="227" t="n">
        <v>1</v>
      </c>
      <c r="V31" s="227" t="n">
        <v>1</v>
      </c>
      <c r="W31" s="227" t="n">
        <v>1</v>
      </c>
      <c r="X31" s="227" t="n">
        <v>1</v>
      </c>
      <c r="Y31" s="228" t="n">
        <v>0</v>
      </c>
    </row>
    <row r="32" ht="15" customHeight="1" s="133">
      <c r="A32" s="146" t="inlineStr">
        <is>
          <t>Client Success Manager</t>
        </is>
      </c>
      <c r="B32" s="225" t="n">
        <v>95000</v>
      </c>
      <c r="C32" s="229" t="n">
        <v>0</v>
      </c>
      <c r="D32" s="229" t="n">
        <v>0</v>
      </c>
      <c r="E32" s="229" t="n">
        <v>0</v>
      </c>
      <c r="F32" s="229" t="n">
        <v>0</v>
      </c>
      <c r="G32" s="229" t="n">
        <v>0</v>
      </c>
      <c r="H32" s="226" t="n">
        <v>1</v>
      </c>
      <c r="I32" s="226" t="n">
        <v>1</v>
      </c>
      <c r="J32" s="226" t="n">
        <v>1</v>
      </c>
      <c r="K32" s="226" t="n">
        <v>1</v>
      </c>
      <c r="L32" s="226" t="n">
        <v>1</v>
      </c>
      <c r="M32" s="226" t="n">
        <v>1</v>
      </c>
      <c r="N32" s="229" t="n">
        <v>0</v>
      </c>
      <c r="O32" s="229" t="n">
        <v>0</v>
      </c>
      <c r="P32" s="229" t="n">
        <v>0</v>
      </c>
      <c r="Q32" s="229" t="n">
        <v>0</v>
      </c>
      <c r="R32" s="229" t="n">
        <v>0</v>
      </c>
      <c r="S32" s="227" t="n">
        <v>1</v>
      </c>
      <c r="T32" s="227" t="n">
        <v>1</v>
      </c>
      <c r="U32" s="227" t="n">
        <v>1</v>
      </c>
      <c r="V32" s="227" t="n">
        <v>1</v>
      </c>
      <c r="W32" s="227" t="n">
        <v>1</v>
      </c>
      <c r="X32" s="227" t="n">
        <v>1</v>
      </c>
      <c r="Y32" s="228" t="n">
        <v>0</v>
      </c>
    </row>
    <row r="33" ht="15" customHeight="1" s="133">
      <c r="A33" s="146" t="inlineStr">
        <is>
          <t>Operations Manager</t>
        </is>
      </c>
      <c r="B33" s="225" t="n">
        <v>100000</v>
      </c>
      <c r="C33" s="229" t="n">
        <v>0</v>
      </c>
      <c r="D33" s="229" t="n">
        <v>0</v>
      </c>
      <c r="E33" s="229" t="n">
        <v>0</v>
      </c>
      <c r="F33" s="229" t="n">
        <v>0</v>
      </c>
      <c r="G33" s="229" t="n">
        <v>0</v>
      </c>
      <c r="H33" s="229" t="n">
        <v>0</v>
      </c>
      <c r="I33" s="229" t="n">
        <v>0</v>
      </c>
      <c r="J33" s="226" t="n">
        <v>1</v>
      </c>
      <c r="K33" s="226" t="n">
        <v>1</v>
      </c>
      <c r="L33" s="226" t="n">
        <v>1</v>
      </c>
      <c r="M33" s="226" t="n">
        <v>1</v>
      </c>
      <c r="N33" s="229" t="n">
        <v>0</v>
      </c>
      <c r="O33" s="229" t="n">
        <v>0</v>
      </c>
      <c r="P33" s="229" t="n">
        <v>0</v>
      </c>
      <c r="Q33" s="229" t="n">
        <v>0</v>
      </c>
      <c r="R33" s="229" t="n">
        <v>0</v>
      </c>
      <c r="S33" s="227" t="n">
        <v>1</v>
      </c>
      <c r="T33" s="227" t="n">
        <v>1</v>
      </c>
      <c r="U33" s="227" t="n">
        <v>1</v>
      </c>
      <c r="V33" s="227" t="n">
        <v>1</v>
      </c>
      <c r="W33" s="227" t="n">
        <v>1</v>
      </c>
      <c r="X33" s="227" t="n">
        <v>1</v>
      </c>
      <c r="Y33" s="202" t="n">
        <v>0.333333333333333</v>
      </c>
    </row>
    <row r="34" ht="15" customHeight="1" s="133">
      <c r="A34" s="146" t="inlineStr">
        <is>
          <t>Executive Assistant / Ops (0.5 FTE from H1 2027)</t>
        </is>
      </c>
      <c r="B34" s="225" t="n">
        <v>55000</v>
      </c>
      <c r="C34" s="229" t="n">
        <v>0</v>
      </c>
      <c r="D34" s="229" t="n">
        <v>0.545</v>
      </c>
      <c r="E34" s="229" t="n">
        <v>0.545</v>
      </c>
      <c r="F34" s="226" t="n">
        <v>1</v>
      </c>
      <c r="G34" s="226" t="n">
        <v>1</v>
      </c>
      <c r="H34" s="226" t="n">
        <v>1</v>
      </c>
      <c r="I34" s="226" t="n">
        <v>1</v>
      </c>
      <c r="J34" s="226" t="n">
        <v>1</v>
      </c>
      <c r="K34" s="226" t="n">
        <v>1</v>
      </c>
      <c r="L34" s="226" t="n">
        <v>1</v>
      </c>
      <c r="M34" s="226" t="n">
        <v>1</v>
      </c>
      <c r="N34" s="227" t="n">
        <v>0</v>
      </c>
      <c r="O34" s="227" t="n">
        <v>1</v>
      </c>
      <c r="P34" s="227" t="n">
        <v>1</v>
      </c>
      <c r="Q34" s="227" t="n">
        <v>1</v>
      </c>
      <c r="R34" s="227" t="n">
        <v>1</v>
      </c>
      <c r="S34" s="227" t="n">
        <v>1</v>
      </c>
      <c r="T34" s="227" t="n">
        <v>1</v>
      </c>
      <c r="U34" s="227" t="n">
        <v>1</v>
      </c>
      <c r="V34" s="227" t="n">
        <v>1</v>
      </c>
      <c r="W34" s="227" t="n">
        <v>1</v>
      </c>
      <c r="X34" s="227" t="n">
        <v>1</v>
      </c>
      <c r="Y34" s="202" t="n">
        <v>0.272727272727273</v>
      </c>
    </row>
    <row r="35" ht="15" customHeight="1" s="133">
      <c r="A35" s="146" t="inlineStr">
        <is>
          <t>CMO (Kevin) Part-Time</t>
        </is>
      </c>
      <c r="B35" s="225" t="n">
        <v>48000</v>
      </c>
      <c r="C35" s="229" t="n">
        <v>0.5</v>
      </c>
      <c r="D35" s="229" t="n">
        <v>1</v>
      </c>
      <c r="E35" s="229" t="n">
        <v>1</v>
      </c>
      <c r="F35" s="229" t="n">
        <v>1</v>
      </c>
      <c r="G35" s="229" t="n">
        <v>1</v>
      </c>
      <c r="H35" s="229" t="n">
        <v>1</v>
      </c>
      <c r="I35" s="229" t="n">
        <v>1</v>
      </c>
      <c r="J35" s="226" t="n">
        <v>1</v>
      </c>
      <c r="K35" s="226" t="n">
        <v>1</v>
      </c>
      <c r="L35" s="226" t="n">
        <v>1</v>
      </c>
      <c r="M35" s="226" t="n">
        <v>1</v>
      </c>
      <c r="N35" s="229" t="n">
        <v>1</v>
      </c>
      <c r="O35" s="229" t="n">
        <v>1</v>
      </c>
      <c r="P35" s="229" t="n">
        <v>1</v>
      </c>
      <c r="Q35" s="229" t="n">
        <v>1</v>
      </c>
      <c r="R35" s="229" t="n">
        <v>1</v>
      </c>
      <c r="S35" s="229" t="n">
        <v>1</v>
      </c>
      <c r="T35" s="229" t="n">
        <v>1</v>
      </c>
      <c r="U35" s="227" t="n">
        <v>1</v>
      </c>
      <c r="V35" s="227" t="n">
        <v>1</v>
      </c>
      <c r="W35" s="227" t="n">
        <v>1</v>
      </c>
      <c r="X35" s="227" t="n">
        <v>1</v>
      </c>
      <c r="Y35" s="228" t="n">
        <v>0</v>
      </c>
    </row>
    <row r="36" ht="15" customHeight="1" s="133">
      <c r="A36" s="146" t="inlineStr">
        <is>
          <t>Founding Capital Markets Advisor (Bruce Fair, via Mench Capital)</t>
        </is>
      </c>
      <c r="B36" s="225" t="n">
        <v>72000</v>
      </c>
      <c r="C36" s="229" t="n">
        <v>0.5</v>
      </c>
      <c r="D36" s="229" t="n">
        <v>1</v>
      </c>
      <c r="E36" s="229" t="n">
        <v>1</v>
      </c>
      <c r="F36" s="229" t="n">
        <v>1</v>
      </c>
      <c r="G36" s="229" t="n">
        <v>1</v>
      </c>
      <c r="H36" s="229" t="n">
        <v>1</v>
      </c>
      <c r="I36" s="229" t="n">
        <v>1</v>
      </c>
      <c r="J36" s="278" t="n">
        <v>1</v>
      </c>
      <c r="K36" s="278" t="n">
        <v>1</v>
      </c>
      <c r="L36" s="226" t="n">
        <v>1</v>
      </c>
      <c r="M36" s="226" t="n">
        <v>1</v>
      </c>
      <c r="N36" s="229" t="n">
        <v>1</v>
      </c>
      <c r="O36" s="229" t="n">
        <v>1</v>
      </c>
      <c r="P36" s="229" t="n">
        <v>1</v>
      </c>
      <c r="Q36" s="229" t="n">
        <v>1</v>
      </c>
      <c r="R36" s="229" t="n">
        <v>1</v>
      </c>
      <c r="S36" s="229" t="n">
        <v>1</v>
      </c>
      <c r="T36" s="229" t="n">
        <v>1</v>
      </c>
      <c r="U36" s="227" t="n">
        <v>1</v>
      </c>
      <c r="V36" s="227" t="n">
        <v>1</v>
      </c>
      <c r="W36" s="227" t="n">
        <v>1</v>
      </c>
      <c r="X36" s="227" t="n">
        <v>1</v>
      </c>
      <c r="Y36" s="228" t="n">
        <v>0</v>
      </c>
    </row>
    <row r="37" ht="15" customHeight="1" s="133">
      <c r="A37" s="279" t="inlineStr">
        <is>
          <t>Advisory Council Retainer (Dean McCall)</t>
        </is>
      </c>
      <c r="B37" s="280" t="n">
        <v>60000</v>
      </c>
      <c r="C37" s="281" t="n">
        <v>0.5</v>
      </c>
      <c r="D37" s="281" t="n">
        <v>1</v>
      </c>
      <c r="E37" s="281" t="n">
        <v>1</v>
      </c>
      <c r="F37" s="281" t="n">
        <v>1</v>
      </c>
      <c r="G37" s="281" t="n">
        <v>1</v>
      </c>
      <c r="H37" s="281" t="n">
        <v>1</v>
      </c>
      <c r="I37" s="281" t="n">
        <v>1</v>
      </c>
      <c r="J37" s="282" t="n">
        <v>1</v>
      </c>
      <c r="K37" s="282" t="n">
        <v>1</v>
      </c>
      <c r="L37" s="282" t="n">
        <v>1</v>
      </c>
      <c r="M37" s="282" t="n">
        <v>1</v>
      </c>
      <c r="N37" s="281" t="n">
        <v>1</v>
      </c>
      <c r="O37" s="281" t="n">
        <v>1</v>
      </c>
      <c r="P37" s="281" t="n">
        <v>1</v>
      </c>
      <c r="Q37" s="281" t="n">
        <v>1</v>
      </c>
      <c r="R37" s="281" t="n">
        <v>1</v>
      </c>
      <c r="S37" s="281" t="n">
        <v>1</v>
      </c>
      <c r="T37" s="281" t="n">
        <v>1</v>
      </c>
      <c r="U37" s="283" t="n">
        <v>1</v>
      </c>
      <c r="V37" s="283" t="n">
        <v>1</v>
      </c>
      <c r="W37" s="283" t="n">
        <v>1</v>
      </c>
      <c r="X37" s="283" t="n">
        <v>1</v>
      </c>
      <c r="Y37" s="284" t="n">
        <v>0</v>
      </c>
    </row>
    <row r="38" ht="23.25" customHeight="1" s="133">
      <c r="A38" s="285" t="inlineStr">
        <is>
          <t>TOTAL HEADCOUNT (FTE)</t>
        </is>
      </c>
      <c r="B38" s="216" t="n"/>
      <c r="C38" s="230">
        <f>C6+C7+C8+C9+C10+C12+C13+C14+C15+C16+C17+C18+C19+C20+C21+C22+C23+C25+C26+C27+C28+C30+C31+C32+C33+C34+C35+C36+C37</f>
        <v/>
      </c>
      <c r="D38" s="230">
        <f>D6+D7+D8+D9+D10+D12+D13+D14+D15+D16+D17+D18+D19+D20+D21+D22+D23+D25+D26+D27+D28+D30+D31+D32+D33+D34+D35+D36+D37</f>
        <v/>
      </c>
      <c r="E38" s="230">
        <f>E6+E7+E8+E9+E10+E12+E13+E14+E15+E16+E17+E18+E19+E20+E21+E22+E23+E25+E26+E27+E28+E30+E31+E32+E33+E34+E35+E36+E37</f>
        <v/>
      </c>
      <c r="F38" s="230">
        <f>F6+F7+F8+F9+F10+F12+F13+F14+F15+F16+F17+F18+F19+F20+F21+F22+F23+F25+F26+F27+F28+F30+F31+F32+F33+F34+F35+F36+F37</f>
        <v/>
      </c>
      <c r="G38" s="230">
        <f>G6+G7+G8+G9+G10+G12+G13+G14+G15+G16+G17+G18+G19+G20+G21+G22+G23+G25+G26+G27+G28+G30+G31+G32+G33+G34+G35+G36+G37</f>
        <v/>
      </c>
      <c r="H38" s="230">
        <f>H6+H7+H8+H9+H10+H12+H13+H14+H15+H16+H17+H18+H19+H20+H21+H22+H23+H25+H26+H27+H28+H30+H31+H32+H33+H34+H35+H36+H37</f>
        <v/>
      </c>
      <c r="I38" s="230">
        <f>I6+I7+I8+I9+I10+I12+I13+I14+I15+I16+I17+I18+I19+I20+I21+I22+I23+I25+I26+I27+I28+I30+I31+I32+I33+I34+I35+I36+I37</f>
        <v/>
      </c>
      <c r="J38" s="230">
        <f>J6+J7+J8+J9+J10+J12+J13+J14+J15+J16+J17+J18+J19+J20+J21+J22+J23+J25+J26+J27+J28+J30+J31+J32+J33+J34+J35+J36+J37</f>
        <v/>
      </c>
      <c r="K38" s="230">
        <f>K6+K7+K8+K9+K10+K12+K13+K14+K15+K16+K17+K18+K19+K20+K21+K22+K23+K25+K26+K27+K28+K30+K31+K32+K33+K34+K35+K36+K37</f>
        <v/>
      </c>
      <c r="L38" s="230">
        <f>L6+L7+L8+L9+L10+L12+L13+L14+L15+L16+L17+L18+L19+L20+L21+L22+L23+L25+L26+L27+L28+L30+L31+L32+L33+L34+L35+L36+L37</f>
        <v/>
      </c>
      <c r="M38" s="230">
        <f>M6+M7+M8+M9+M10+M12+M13+M14+M15+M16+M17+M18+M19+M20+M21+M22+M23+M25+M26+M27+M28+M30+M31+M32+M33+M34+M35+M36+M37</f>
        <v/>
      </c>
      <c r="N38" s="230">
        <f>N6+N7+N8+N9+N10+N12+N13+N14+N15+N16+N17+N18+N19+N20+N21+N22+N23+N25+N26+N27+N28+N30+N31+N32+N33+N34+N35+N36+N37</f>
        <v/>
      </c>
      <c r="O38" s="230">
        <f>O6+O7+O8+O9+O10+O12+O13+O14+O15+O16+O17+O18+O19+O20+O21+O22+O23+O25+O26+O27+O28+O30+O31+O32+O33+O34+O35+O36+O37</f>
        <v/>
      </c>
      <c r="P38" s="230">
        <f>P6+P7+P8+P9+P10+P12+P13+P14+P15+P16+P17+P18+P19+P20+P21+P22+P23+P25+P26+P27+P28+P30+P31+P32+P33+P34+P35+P36+P37</f>
        <v/>
      </c>
      <c r="Q38" s="230">
        <f>Q6+Q7+Q8+Q9+Q10+Q12+Q13+Q14+Q15+Q16+Q17+Q18+Q19+Q20+Q21+Q22+Q23+Q25+Q26+Q27+Q28+Q30+Q31+Q32+Q33+Q34+Q35+Q36+Q37</f>
        <v/>
      </c>
      <c r="R38" s="230">
        <f>R6+R7+R8+R9+R10+R12+R13+R14+R15+R16+R17+R18+R19+R20+R21+R22+R23+R25+R26+R27+R28+R30+R31+R32+R33+R34+R35+R36+R37</f>
        <v/>
      </c>
      <c r="S38" s="230">
        <f>S6+S7+S8+S9+S10+S12+S13+S14+S15+S16+S17+S18+S19+S20+S21+S22+S23+S25+S26+S27+S28+S30+S31+S32+S33+S34+S35+S36+S37</f>
        <v/>
      </c>
      <c r="T38" s="230">
        <f>T6+T7+T8+T9+T10+T12+T13+T14+T15+T16+T17+T18+T19+T20+T21+T22+T23+T25+T26+T27+T28+T30+T31+T32+T33+T34+T35+T36+T37</f>
        <v/>
      </c>
      <c r="U38" s="230">
        <f>U6+U7+U8+U9+U10+U12+U13+U14+U15+U16+U17+U18+U19+U20+U21+U22+U23+U25+U26+U27+U28+U30+U31+U32+U33+U34+U35+U36+U37</f>
        <v/>
      </c>
      <c r="V38" s="230">
        <f>V6+V7+V8+V9+V10+V12+V13+V14+V15+V16+V17+V18+V19+V20+V21+V22+V23+V25+V26+V27+V28+V30+V31+V32+V33+V34+V35+V36+V37</f>
        <v/>
      </c>
      <c r="W38" s="230">
        <f>W6+W7+W8+W9+W10+W12+W13+W14+W15+W16+W17+W18+W19+W20+W21+W22+W23+W25+W26+W27+W28+W30+W31+W32+W33+W34+W35+W36+W37</f>
        <v/>
      </c>
      <c r="X38" s="230">
        <f>X6+X7+X8+X9+X10+X12+X13+X14+X15+X16+X17+X18+X19+X20+X21+X22+X23+X25+X26+X27+X28+X30+X31+X32+X33+X34+X35+X36+X37</f>
        <v/>
      </c>
      <c r="Y38" s="216" t="n"/>
    </row>
    <row r="39" ht="15" customHeight="1" s="133">
      <c r="A39" s="285" t="inlineStr">
        <is>
          <t>TOTAL SEMI-ANNUAL COMPENSATION</t>
        </is>
      </c>
      <c r="B39" s="216" t="n"/>
      <c r="C39" s="181">
        <f>($B6*C6/2+$B7*C7/2+$B8*C8/2+$B9*C9/2+$B10*C10/2+$B12*C12/2+$B13*C13/2+$B14*C14/2+$B15*C15/2+$B16*C16/2+$B17*C17/2+$B18*C18/2+$B19*C19/2+$B20*C20/2+$B21*C21/2+$B22*C22/2+$B23*C23/2+$B25*C25/2+$B26*C26/2+$B27*C27/2+$B28*C28/2+$B30*C30/2+$B31*C31/2+$B32*C32/2+$B33*C33/2+$B34*C34/2+$B35*C35/2+$B36*C36/2+$B37*C37/2)</f>
        <v/>
      </c>
      <c r="D39" s="181">
        <f>($B6*D6/2+$B7*D7/2+$B8*D8/2+$B9*D9/2+$B10*D10/2+$B12*D12/2+$B13*D13/2+$B14*D14/2+$B15*D15/2+$B16*D16/2+$B17*D17/2+$B18*D18/2+$B19*D19/2+$B20*D20/2+$B21*D21/2+$B22*D22/2+$B23*D23/2+$B25*D25/2+$B26*D26/2+$B27*D27/2+$B28*D28/2+$B30*D30/2+$B31*D31/2+$B32*D32/2+$B33*D33/2+$B34*D34/2+$B35*D35/2+$B36*D36/2+$B37*D37/2)</f>
        <v/>
      </c>
      <c r="E39" s="181">
        <f>($B6*E6/2+$B7*E7/2+$B8*E8/2+$B9*E9/2+$B10*E10/2+$B12*E12/2+$B13*E13/2+$B14*E14/2+$B15*E15/2+$B16*E16/2+$B17*E17/2+$B18*E18/2+$B19*E19/2+$B20*E20/2+$B21*E21/2+$B22*E22/2+$B23*E23/2+$B25*E25/2+$B26*E26/2+$B27*E27/2+$B28*E28/2+$B30*E30/2+$B31*E31/2+$B32*E32/2+$B33*E33/2+$B34*E34/2+$B35*E35/2+$B36*E36/2+$B37*E37/2)</f>
        <v/>
      </c>
      <c r="F39" s="181">
        <f>($B6*F6/2+$B7*F7/2+$B8*F8/2+$B9*F9/2+$B10*F10/2+$B12*F12/2+$B13*F13/2+$B14*F14/2+$B15*F15/2+$B16*F16/2+$B17*F17/2+$B18*F18/2+$B19*F19/2+$B20*F20/2+$B21*F21/2+$B22*F22/2+$B23*F23/2+$B25*F25/2+$B26*F26/2+$B27*F27/2+$B28*F28/2+$B30*F30/2+$B31*F31/2+$B32*F32/2+$B33*F33/2+$B34*F34/2+$B35*F35/2+$B36*F36/2+$B37*F37/2)</f>
        <v/>
      </c>
      <c r="G39" s="181">
        <f>($B6*G6/2+$B7*G7/2+$B8*G8/2+$B9*G9/2+$B10*G10/2+$B12*G12/2+$B13*G13/2+$B14*G14/2+$B15*G15/2+$B16*G16/2+$B17*G17/2+$B18*G18/2+$B19*G19/2+$B20*G20/2+$B21*G21/2+$B22*G22/2+$B23*G23/2+$B25*G25/2+$B26*G26/2+$B27*G27/2+$B28*G28/2+$B30*G30/2+$B31*G31/2+$B32*G32/2+$B33*G33/2+$B34*G34/2+$B35*G35/2+$B36*G36/2+$B37*G37/2)</f>
        <v/>
      </c>
      <c r="H39" s="181">
        <f>($B6*H6/2+$B7*H7/2+$B8*H8/2+$B9*H9/2+$B10*H10/2+$B12*H12/2+$B13*H13/2+$B14*H14/2+$B15*H15/2+$B16*H16/2+$B17*H17/2+$B18*H18/2+$B19*H19/2+$B20*H20/2+$B21*H21/2+$B22*H22/2+$B23*H23/2+$B25*H25/2+$B26*H26/2+$B27*H27/2+$B28*H28/2+$B30*H30/2+$B31*H31/2+$B32*H32/2+$B33*H33/2+$B34*H34/2+$B35*H35/2+$B36*H36/2+$B37*H37/2)</f>
        <v/>
      </c>
      <c r="I39" s="181">
        <f>($B6*I6/2+$B7*I7/2+$B8*I8/2+$B9*I9/2+$B10*I10/2+$B12*I12/2+$B13*I13/2+$B14*I14/2+$B15*I15/2+$B16*I16/2+$B17*I17/2+$B18*I18/2+$B19*I19/2+$B20*I20/2+$B21*I21/2+$B22*I22/2+$B23*I23/2+$B25*I25/2+$B26*I26/2+$B27*I27/2+$B28*I28/2+$B30*I30/2+$B31*I31/2+$B32*I32/2+$B33*I33/2+$B34*I34/2+$B35*I35/2+$B36*I36/2+$B37*I37/2)</f>
        <v/>
      </c>
      <c r="J39" s="181">
        <f>($B6*J6/2+$B7*J7/2+$B8*J8/2+$B9*J9/2+$B10*J10/2+$B12*J12/2+$B13*J13/2+$B14*J14/2+$B15*J15/2+$B16*J16/2+$B17*J17/2+$B18*J18/2+$B19*J19/2+$B20*J20/2+$B21*J21/2+$B22*J22/2+$B23*J23/2+$B25*J25/2+$B26*J26/2+$B27*J27/2+$B28*J28/2+$B30*J30/2+$B31*J31/2+$B32*J32/2+$B33*J33/2+$B34*J34/2+$B35*J35/2+$B36*J36/2+$B37*J37/2)</f>
        <v/>
      </c>
      <c r="K39" s="181">
        <f>($B6*K6/2+$B7*K7/2+$B8*K8/2+$B9*K9/2+$B10*K10/2+$B12*K12/2+$B13*K13/2+$B14*K14/2+$B15*K15/2+$B16*K16/2+$B17*K17/2+$B18*K18/2+$B19*K19/2+$B20*K20/2+$B21*K21/2+$B22*K22/2+$B23*K23/2+$B25*K25/2+$B26*K26/2+$B27*K27/2+$B28*K28/2+$B30*K30/2+$B31*K31/2+$B32*K32/2+$B33*K33/2+$B34*K34/2+$B35*K35/2+$B36*K36/2+$B37*K37/2)</f>
        <v/>
      </c>
      <c r="L39" s="181">
        <f>($B6*L6/2+$B7*L7/2+$B8*L8/2+$B9*L9/2+$B10*L10/2+$B12*L12/2+$B13*L13/2+$B14*L14/2+$B15*L15/2+$B16*L16/2+$B17*L17/2+$B18*L18/2+$B19*L19/2+$B20*L20/2+$B21*L21/2+$B22*L22/2+$B23*L23/2+$B25*L25/2+$B26*L26/2+$B27*L27/2+$B28*L28/2+$B30*L30/2+$B31*L31/2+$B32*L32/2+$B33*L33/2+$B34*L34/2+$B35*L35/2+$B36*L36/2+$B37*L37/2)</f>
        <v/>
      </c>
      <c r="M39" s="181">
        <f>($B6*M6/2+$B7*M7/2+$B8*M8/2+$B9*M9/2+$B10*M10/2+$B12*M12/2+$B13*M13/2+$B14*M14/2+$B15*M15/2+$B16*M16/2+$B17*M17/2+$B18*M18/2+$B19*M19/2+$B20*M20/2+$B21*M21/2+$B22*M22/2+$B23*M23/2+$B25*M25/2+$B26*M26/2+$B27*M27/2+$B28*M28/2+$B30*M30/2+$B31*M31/2+$B32*M32/2+$B33*M33/2+$B34*M34/2+$B35*M35/2+$B36*M36/2+$B37*M37/2)</f>
        <v/>
      </c>
      <c r="N39" s="181">
        <f>($B6*N6/2+$B7*N7/2+$B8*N8/2+$B9*N9/2+$B10*N10/2+$B12*N12/2+$B13*N13/2+$B14*N14/2+$B15*N15/2+$B16*N16/2+$B17*N17/2+$B18*N18/2+$B19*N19/2+$B20*N20/2+$B21*N21/2+$B22*N22/2+$B23*N23/2+$B25*N25/2+$B26*N26/2+$B27*N27/2+$B28*N28/2+$B30*N30/2+$B31*N31/2+$B32*N32/2+$B33*N33/2+$B34*N34/2+$B35*N35/2+$B36*N36/2+$B37*N37/2)</f>
        <v/>
      </c>
      <c r="O39" s="181">
        <f>($B6*O6/2+$B7*O7/2+$B8*O8/2+$B9*O9/2+$B10*O10/2+$B12*O12/2+$B13*O13/2+$B14*O14/2+$B15*O15/2+$B16*O16/2+$B17*O17/2+$B18*O18/2+$B19*O19/2+$B20*O20/2+$B21*O21/2+$B22*O22/2+$B23*O23/2+$B25*O25/2+$B26*O26/2+$B27*O27/2+$B28*O28/2+$B30*O30/2+$B31*O31/2+$B32*O32/2+$B33*O33/2+$B34*O34/2+$B35*O35/2+$B36*O36/2+$B37*O37/2)</f>
        <v/>
      </c>
      <c r="P39" s="181">
        <f>($B6*P6/2+$B7*P7/2+$B8*P8/2+$B9*P9/2+$B10*P10/2+$B12*P12/2+$B13*P13/2+$B14*P14/2+$B15*P15/2+$B16*P16/2+$B17*P17/2+$B18*P18/2+$B19*P19/2+$B20*P20/2+$B21*P21/2+$B22*P22/2+$B23*P23/2+$B25*P25/2+$B26*P26/2+$B27*P27/2+$B28*P28/2+$B30*P30/2+$B31*P31/2+$B32*P32/2+$B33*P33/2+$B34*P34/2+$B35*P35/2+$B36*P36/2+$B37*P37/2)</f>
        <v/>
      </c>
      <c r="Q39" s="181">
        <f>($B6*Q6/2+$B7*Q7/2+$B8*Q8/2+$B9*Q9/2+$B10*Q10/2+$B12*Q12/2+$B13*Q13/2+$B14*Q14/2+$B15*Q15/2+$B16*Q16/2+$B17*Q17/2+$B18*Q18/2+$B19*Q19/2+$B20*Q20/2+$B21*Q21/2+$B22*Q22/2+$B23*Q23/2+$B25*Q25/2+$B26*Q26/2+$B27*Q27/2+$B28*Q28/2+$B30*Q30/2+$B31*Q31/2+$B32*Q32/2+$B33*Q33/2+$B34*Q34/2+$B35*Q35/2+$B36*Q36/2+$B37*Q37/2)</f>
        <v/>
      </c>
      <c r="R39" s="181">
        <f>($B6*R6/2+$B7*R7/2+$B8*R8/2+$B9*R9/2+$B10*R10/2+$B12*R12/2+$B13*R13/2+$B14*R14/2+$B15*R15/2+$B16*R16/2+$B17*R17/2+$B18*R18/2+$B19*R19/2+$B20*R20/2+$B21*R21/2+$B22*R22/2+$B23*R23/2+$B25*R25/2+$B26*R26/2+$B27*R27/2+$B28*R28/2+$B30*R30/2+$B31*R31/2+$B32*R32/2+$B33*R33/2+$B34*R34/2+$B35*R35/2+$B36*R36/2+$B37*R37/2)</f>
        <v/>
      </c>
      <c r="S39" s="181">
        <f>($B6*S6/2+$B7*S7/2+$B8*S8/2+$B9*S9/2+$B10*S10/2+$B12*S12/2+$B13*S13/2+$B14*S14/2+$B15*S15/2+$B16*S16/2+$B17*S17/2+$B18*S18/2+$B19*S19/2+$B20*S20/2+$B21*S21/2+$B22*S22/2+$B23*S23/2+$B25*S25/2+$B26*S26/2+$B27*S27/2+$B28*S28/2+$B30*S30/2+$B31*S31/2+$B32*S32/2+$B33*S33/2+$B34*S34/2+$B35*S35/2+$B36*S36/2+$B37*S37/2)</f>
        <v/>
      </c>
      <c r="T39" s="181">
        <f>($B6*T6/2+$B7*T7/2+$B8*T8/2+$B9*T9/2+$B10*T10/2+$B12*T12/2+$B13*T13/2+$B14*T14/2+$B15*T15/2+$B16*T16/2+$B17*T17/2+$B18*T18/2+$B19*T19/2+$B20*T20/2+$B21*T21/2+$B22*T22/2+$B23*T23/2+$B25*T25/2+$B26*T26/2+$B27*T27/2+$B28*T28/2+$B30*T30/2+$B31*T31/2+$B32*T32/2+$B33*T33/2+$B34*T34/2+$B35*T35/2+$B36*T36/2+$B37*T37/2)</f>
        <v/>
      </c>
      <c r="U39" s="181">
        <f>($B6*U6/2+$B7*U7/2+$B8*U8/2+$B9*U9/2+$B10*U10/2+$B12*U12/2+$B13*U13/2+$B14*U14/2+$B15*U15/2+$B16*U16/2+$B17*U17/2+$B18*U18/2+$B19*U19/2+$B20*U20/2+$B21*U21/2+$B22*U22/2+$B23*U23/2+$B25*U25/2+$B26*U26/2+$B27*U27/2+$B28*U28/2+$B30*U30/2+$B31*U31/2+$B32*U32/2+$B33*U33/2+$B34*U34/2+$B35*U35/2+$B36*U36/2+$B37*U37/2)</f>
        <v/>
      </c>
      <c r="V39" s="181">
        <f>($B6*V6/2+$B7*V7/2+$B8*V8/2+$B9*V9/2+$B10*V10/2+$B12*V12/2+$B13*V13/2+$B14*V14/2+$B15*V15/2+$B16*V16/2+$B17*V17/2+$B18*V18/2+$B19*V19/2+$B20*V20/2+$B21*V21/2+$B22*V22/2+$B23*V23/2+$B25*V25/2+$B26*V26/2+$B27*V27/2+$B28*V28/2+$B30*V30/2+$B31*V31/2+$B32*V32/2+$B33*V33/2+$B34*V34/2+$B35*V35/2+$B36*V36/2+$B37*V37/2)</f>
        <v/>
      </c>
      <c r="W39" s="181">
        <f>($B6*W6/2+$B7*W7/2+$B8*W8/2+$B9*W9/2+$B10*W10/2+$B12*W12/2+$B13*W13/2+$B14*W14/2+$B15*W15/2+$B16*W16/2+$B17*W17/2+$B18*W18/2+$B19*W19/2+$B20*W20/2+$B21*W21/2+$B22*W22/2+$B23*W23/2+$B25*W25/2+$B26*W26/2+$B27*W27/2+$B28*W28/2+$B30*W30/2+$B31*W31/2+$B32*W32/2+$B33*W33/2+$B34*W34/2+$B35*W35/2+$B36*W36/2+$B37*W37/2)</f>
        <v/>
      </c>
      <c r="X39" s="181">
        <f>($B6*X6/2+$B7*X7/2+$B8*X8/2+$B9*X9/2+$B10*X10/2+$B12*X12/2+$B13*X13/2+$B14*X14/2+$B15*X15/2+$B16*X16/2+$B17*X17/2+$B18*X18/2+$B19*X19/2+$B20*X20/2+$B21*X21/2+$B22*X22/2+$B23*X23/2+$B25*X25/2+$B26*X26/2+$B27*X27/2+$B28*X28/2+$B30*X30/2+$B31*X31/2+$B32*X32/2+$B33*X33/2+$B34*X34/2+$B35*X35/2+$B36*X36/2+$B37*X37/2)</f>
        <v/>
      </c>
      <c r="Y39" s="216" t="n"/>
    </row>
    <row r="40">
      <c r="A40" s="286" t="inlineStr">
        <is>
          <t>platform SAVINGS (Traditional - the platform Build)</t>
        </is>
      </c>
      <c r="C40" s="199">
        <f>N39-C39</f>
        <v/>
      </c>
      <c r="D40" s="199">
        <f>O39-D39</f>
        <v/>
      </c>
      <c r="E40" s="199">
        <f>P39-E39</f>
        <v/>
      </c>
      <c r="F40" s="199">
        <f>Q39-F39</f>
        <v/>
      </c>
      <c r="G40" s="199">
        <f>R39-G39</f>
        <v/>
      </c>
      <c r="H40" s="199">
        <f>S39-H39</f>
        <v/>
      </c>
      <c r="I40" s="199">
        <f>T39-I39</f>
        <v/>
      </c>
      <c r="J40" s="199">
        <f>U39-J39</f>
        <v/>
      </c>
      <c r="K40" s="199">
        <f>V39-K39</f>
        <v/>
      </c>
      <c r="L40" s="199">
        <f>W39-L39</f>
        <v/>
      </c>
      <c r="M40" s="199">
        <f>X39-M39</f>
        <v/>
      </c>
    </row>
  </sheetData>
  <mergeCells count="2">
    <mergeCell ref="A2:Y2"/>
    <mergeCell ref="A1:Y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0AD47"/>
    <outlinePr summaryBelow="1" summaryRight="1"/>
    <pageSetUpPr fitToPage="0"/>
  </sheetPr>
  <dimension ref="A1:N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42" customWidth="1" style="131" min="1" max="1"/>
    <col width="15" customWidth="1" style="131" min="2" max="2"/>
    <col width="11" customWidth="1" style="131" min="3" max="13"/>
    <col width="14" customWidth="1" style="131" min="14" max="14"/>
  </cols>
  <sheetData>
    <row r="1" ht="46.5" customFormat="1" customHeight="1" s="141">
      <c r="A1" s="142" t="inlineStr">
        <is>
          <t>4ORM FINANCE - DEVELOPMENT EXPENSES | SPEER + INTERNAL | EFFICIENT BUILD vs TRADITIONAL</t>
        </is>
      </c>
    </row>
    <row r="2" ht="15" customHeight="1" s="133">
      <c r="A2" s="143" t="inlineStr">
        <is>
          <t>SPEER contracted at $317,304 (3 phases, 13 months). Deposit Sept 1 2026 + 12 monthly installments through Sept 2027. the platform Build reduces internal DevEx via toolchain.</t>
        </is>
      </c>
    </row>
    <row r="4" ht="15" customHeight="1" s="133">
      <c r="A4" s="144" t="inlineStr">
        <is>
          <t>Category / Item</t>
        </is>
      </c>
      <c r="B4" s="144" t="inlineStr">
        <is>
          <t>Build Option</t>
        </is>
      </c>
      <c r="C4" s="144" t="inlineStr">
        <is>
          <t>H2 2026</t>
        </is>
      </c>
      <c r="D4" s="144" t="inlineStr">
        <is>
          <t>H1 2027</t>
        </is>
      </c>
      <c r="E4" s="144" t="inlineStr">
        <is>
          <t>H2 2027</t>
        </is>
      </c>
      <c r="F4" s="144" t="inlineStr">
        <is>
          <t>H1 2028</t>
        </is>
      </c>
      <c r="G4" s="144" t="inlineStr">
        <is>
          <t>H2 2028</t>
        </is>
      </c>
      <c r="H4" s="144" t="inlineStr">
        <is>
          <t>H1 2029</t>
        </is>
      </c>
      <c r="I4" s="144" t="inlineStr">
        <is>
          <t>H2 2029</t>
        </is>
      </c>
      <c r="J4" s="144" t="inlineStr">
        <is>
          <t>H1 2030</t>
        </is>
      </c>
      <c r="K4" s="144" t="inlineStr">
        <is>
          <t>H2 2030</t>
        </is>
      </c>
      <c r="L4" s="144" t="inlineStr">
        <is>
          <t>H1 2031</t>
        </is>
      </c>
      <c r="M4" s="144" t="inlineStr">
        <is>
          <t>H2 2031</t>
        </is>
      </c>
      <c r="N4" s="144" t="inlineStr">
        <is>
          <t>Total</t>
        </is>
      </c>
    </row>
    <row r="5" ht="15" customHeight="1" s="133">
      <c r="A5" s="145" t="inlineStr">
        <is>
          <t>SPEER ENGINEERING - CONTRACTED BUILD</t>
        </is>
      </c>
      <c r="B5" s="145" t="n"/>
      <c r="C5" s="145" t="n"/>
      <c r="D5" s="145" t="n"/>
      <c r="E5" s="145" t="n"/>
      <c r="F5" s="145" t="n"/>
      <c r="G5" s="145" t="n"/>
      <c r="H5" s="145" t="n"/>
      <c r="I5" s="145" t="n"/>
      <c r="J5" s="145" t="n"/>
      <c r="K5" s="145" t="n"/>
      <c r="L5" s="145" t="n"/>
      <c r="M5" s="145" t="n"/>
      <c r="N5" s="145" t="n"/>
    </row>
    <row r="6" ht="15" customHeight="1" s="133">
      <c r="A6" s="146" t="inlineStr">
        <is>
          <t>Phase 1: Discovery &amp; Architecture (1-2 mo)</t>
        </is>
      </c>
      <c r="B6" s="176" t="inlineStr">
        <is>
          <t>SPEER</t>
        </is>
      </c>
      <c r="C6" s="225">
        <f>IF('Control Panel'!$B$22=1,31200,0)</f>
        <v/>
      </c>
      <c r="D6" s="225" t="n">
        <v>0</v>
      </c>
      <c r="E6" s="225" t="n">
        <v>0</v>
      </c>
      <c r="F6" s="225" t="n">
        <v>0</v>
      </c>
      <c r="G6" s="225" t="n">
        <v>0</v>
      </c>
      <c r="H6" s="225" t="n">
        <v>0</v>
      </c>
      <c r="I6" s="225" t="n">
        <v>0</v>
      </c>
      <c r="J6" s="225" t="n">
        <v>0</v>
      </c>
      <c r="K6" s="225" t="n">
        <v>0</v>
      </c>
      <c r="L6" s="225" t="n">
        <v>0</v>
      </c>
      <c r="M6" s="225" t="n">
        <v>0</v>
      </c>
      <c r="N6" s="179">
        <f>SUM(C6:M6)</f>
        <v/>
      </c>
    </row>
    <row r="7" ht="15" customHeight="1" s="133">
      <c r="A7" s="146" t="inlineStr">
        <is>
          <t>Phase 2: MVP Design &amp; Dev (3-5 mo)</t>
        </is>
      </c>
      <c r="B7" s="176" t="inlineStr">
        <is>
          <t>SPEER</t>
        </is>
      </c>
      <c r="C7" s="225">
        <f>IF('Control Panel'!$B$22=1,91650,0)</f>
        <v/>
      </c>
      <c r="D7" s="225">
        <f>IF('Control Panel'!$B$22=1,1950,0)</f>
        <v/>
      </c>
      <c r="E7" s="225" t="n">
        <v>0</v>
      </c>
      <c r="F7" s="225" t="n">
        <v>0</v>
      </c>
      <c r="G7" s="225" t="n">
        <v>0</v>
      </c>
      <c r="H7" s="225" t="n">
        <v>0</v>
      </c>
      <c r="I7" s="225" t="n">
        <v>0</v>
      </c>
      <c r="J7" s="225" t="n">
        <v>0</v>
      </c>
      <c r="K7" s="225" t="n">
        <v>0</v>
      </c>
      <c r="L7" s="225" t="n">
        <v>0</v>
      </c>
      <c r="M7" s="225" t="n">
        <v>0</v>
      </c>
      <c r="N7" s="179">
        <f>SUM(C7:M7)</f>
        <v/>
      </c>
    </row>
    <row r="8" ht="15" customHeight="1" s="133">
      <c r="A8" s="146" t="inlineStr">
        <is>
          <t>Phase 3: Continued Dev &amp; Integration (3-6 mo)</t>
        </is>
      </c>
      <c r="B8" s="176" t="inlineStr">
        <is>
          <t>SPEER</t>
        </is>
      </c>
      <c r="C8" s="225" t="n">
        <v>0</v>
      </c>
      <c r="D8" s="225">
        <f>IF('Control Panel'!$B$22=1,103350,0)</f>
        <v/>
      </c>
      <c r="E8" s="225">
        <f>IF('Control Panel'!$B$22=1,52650,0)</f>
        <v/>
      </c>
      <c r="F8" s="225" t="n">
        <v>0</v>
      </c>
      <c r="G8" s="225" t="n">
        <v>0</v>
      </c>
      <c r="H8" s="225" t="n">
        <v>0</v>
      </c>
      <c r="I8" s="225" t="n">
        <v>0</v>
      </c>
      <c r="J8" s="225" t="n">
        <v>0</v>
      </c>
      <c r="K8" s="225" t="n">
        <v>0</v>
      </c>
      <c r="L8" s="225" t="n">
        <v>0</v>
      </c>
      <c r="M8" s="225" t="n">
        <v>0</v>
      </c>
      <c r="N8" s="179">
        <f>SUM(C8:M8)</f>
        <v/>
      </c>
    </row>
    <row r="9" ht="15" customHeight="1" s="133">
      <c r="A9" s="146" t="inlineStr">
        <is>
          <t>HST 13% on SPEER (auto-calculated)</t>
        </is>
      </c>
      <c r="B9" s="176" t="inlineStr">
        <is>
          <t>Tax</t>
        </is>
      </c>
      <c r="C9" s="225">
        <f>IF('Control Panel'!$B$22=1,(C6+C7+C8)*0.13,0)</f>
        <v/>
      </c>
      <c r="D9" s="225">
        <f>IF('Control Panel'!$B$22=1,(D6+D7+D8)*0.13,0)</f>
        <v/>
      </c>
      <c r="E9" s="225">
        <f>IF('Control Panel'!$B$22=1,(E6+E7+E8)*0.13,0)</f>
        <v/>
      </c>
      <c r="F9" s="225">
        <f>IF('Control Panel'!$B$22=1,(F6+F7+F8)*0.13,0)</f>
        <v/>
      </c>
      <c r="G9" s="225">
        <f>IF('Control Panel'!$B$22=1,(G6+G7+G8)*0.13,0)</f>
        <v/>
      </c>
      <c r="H9" s="225">
        <f>IF('Control Panel'!$B$22=1,(H6+H7+H8)*0.13,0)</f>
        <v/>
      </c>
      <c r="I9" s="225">
        <f>IF('Control Panel'!$B$22=1,(I6+I7+I8)*0.13,0)</f>
        <v/>
      </c>
      <c r="J9" s="225">
        <f>IF('Control Panel'!$B$22=1,(J6+J7+J8)*0.13,0)</f>
        <v/>
      </c>
      <c r="K9" s="225">
        <f>IF('Control Panel'!$B$22=1,(K6+K7+K8)*0.13,0)</f>
        <v/>
      </c>
      <c r="L9" s="225">
        <f>IF('Control Panel'!$B$22=1,(L6+L7+L8)*0.13,0)</f>
        <v/>
      </c>
      <c r="M9" s="225">
        <f>IF('Control Panel'!$B$22=1,(M6+M7+M8)*0.13,0)</f>
        <v/>
      </c>
      <c r="N9" s="179">
        <f>SUM(C9:M9)</f>
        <v/>
      </c>
    </row>
    <row r="10" ht="15" customHeight="1" s="133">
      <c r="A10" s="146" t="inlineStr">
        <is>
          <t>SPEER Fractional CTO (Option A)</t>
        </is>
      </c>
      <c r="B10" s="176" t="inlineStr">
        <is>
          <t>SPEER</t>
        </is>
      </c>
      <c r="C10" s="225" t="n">
        <v>0</v>
      </c>
      <c r="D10" s="225">
        <f>18000*'Control Panel'!$B$23</f>
        <v/>
      </c>
      <c r="E10" s="225">
        <f>18000*'Control Panel'!$B$23</f>
        <v/>
      </c>
      <c r="F10" s="225">
        <f>18000*'Control Panel'!$B$23</f>
        <v/>
      </c>
      <c r="G10" s="225">
        <f>18000*'Control Panel'!$B$23</f>
        <v/>
      </c>
      <c r="H10" s="225">
        <f>18000*'Control Panel'!$B$23</f>
        <v/>
      </c>
      <c r="I10" s="225">
        <f>18000*'Control Panel'!$B$23</f>
        <v/>
      </c>
      <c r="J10" s="225" t="n">
        <v>0</v>
      </c>
      <c r="K10" s="225" t="n">
        <v>0</v>
      </c>
      <c r="L10" s="225" t="n">
        <v>0</v>
      </c>
      <c r="M10" s="225" t="n">
        <v>0</v>
      </c>
      <c r="N10" s="179">
        <f>SUM(C10:M10)</f>
        <v/>
      </c>
    </row>
    <row r="11">
      <c r="A11" s="131" t="inlineStr">
        <is>
          <t>Chain abstraction layer (internal)</t>
        </is>
      </c>
      <c r="B11" s="131" t="inlineStr">
        <is>
          <t>Internal</t>
        </is>
      </c>
      <c r="C11" s="131" t="n">
        <v>40000</v>
      </c>
      <c r="D11" s="131" t="n">
        <v>0</v>
      </c>
      <c r="E11" s="131" t="n">
        <v>0</v>
      </c>
      <c r="F11" s="131" t="n">
        <v>0</v>
      </c>
      <c r="G11" s="131" t="n">
        <v>0</v>
      </c>
      <c r="H11" s="131" t="n">
        <v>0</v>
      </c>
      <c r="I11" s="131" t="n">
        <v>0</v>
      </c>
      <c r="J11" s="131" t="n">
        <v>0</v>
      </c>
      <c r="K11" s="131" t="n">
        <v>0</v>
      </c>
      <c r="L11" s="131" t="n">
        <v>0</v>
      </c>
      <c r="M11" s="131" t="n">
        <v>0</v>
      </c>
      <c r="N11" s="131">
        <f>SUM(C11:M11)</f>
        <v/>
      </c>
    </row>
    <row r="12" ht="15" customHeight="1" s="133">
      <c r="A12" s="150" t="inlineStr">
        <is>
          <t>INTERNAL PLATFORM BUILD (platform Build)</t>
        </is>
      </c>
      <c r="B12" s="150" t="n"/>
      <c r="C12" s="150" t="n"/>
      <c r="D12" s="150" t="n"/>
      <c r="E12" s="150" t="n"/>
      <c r="F12" s="150" t="n"/>
      <c r="G12" s="150" t="n"/>
      <c r="H12" s="150" t="n"/>
      <c r="I12" s="150" t="n"/>
      <c r="J12" s="150" t="n"/>
      <c r="K12" s="150" t="n"/>
      <c r="L12" s="150" t="n"/>
      <c r="M12" s="150" t="n"/>
      <c r="N12" s="150" t="n"/>
    </row>
    <row r="13" ht="15" customHeight="1" s="133">
      <c r="A13" s="146" t="inlineStr">
        <is>
          <t>Core exchange engine (matching, order book)</t>
        </is>
      </c>
      <c r="B13" s="176" t="inlineStr">
        <is>
          <t>Internal</t>
        </is>
      </c>
      <c r="C13" s="225">
        <f>IF('Control Panel'!$B$22=1,0,80000)</f>
        <v/>
      </c>
      <c r="D13" s="225">
        <f>IF('Control Panel'!$B$22=1,0,50000)</f>
        <v/>
      </c>
      <c r="E13" s="225" t="n">
        <v>0</v>
      </c>
      <c r="F13" s="225" t="n">
        <v>0</v>
      </c>
      <c r="G13" s="225" t="n">
        <v>0</v>
      </c>
      <c r="H13" s="225" t="n">
        <v>0</v>
      </c>
      <c r="I13" s="225" t="n">
        <v>0</v>
      </c>
      <c r="J13" s="225" t="n">
        <v>0</v>
      </c>
      <c r="K13" s="225" t="n">
        <v>0</v>
      </c>
      <c r="L13" s="225" t="n">
        <v>0</v>
      </c>
      <c r="M13" s="225" t="n">
        <v>0</v>
      </c>
      <c r="N13" s="179">
        <f>SUM(C13:M13)</f>
        <v/>
      </c>
    </row>
    <row r="14" ht="15" customHeight="1" s="133">
      <c r="A14" s="146" t="inlineStr">
        <is>
          <t>Smart contract development (patent-differentiated)</t>
        </is>
      </c>
      <c r="B14" s="176" t="inlineStr">
        <is>
          <t>Internal</t>
        </is>
      </c>
      <c r="C14" s="225">
        <f>IF('Control Panel'!$B$22=1,30000,60000)</f>
        <v/>
      </c>
      <c r="D14" s="225">
        <f>IF('Control Panel'!$B$22=1,0,40000)</f>
        <v/>
      </c>
      <c r="E14" s="225" t="n">
        <v>0</v>
      </c>
      <c r="F14" s="225" t="n">
        <v>0</v>
      </c>
      <c r="G14" s="225" t="n">
        <v>0</v>
      </c>
      <c r="H14" s="225" t="n">
        <v>0</v>
      </c>
      <c r="I14" s="225" t="n">
        <v>0</v>
      </c>
      <c r="J14" s="225" t="n">
        <v>0</v>
      </c>
      <c r="K14" s="225" t="n">
        <v>0</v>
      </c>
      <c r="L14" s="225" t="n">
        <v>0</v>
      </c>
      <c r="M14" s="225" t="n">
        <v>0</v>
      </c>
      <c r="N14" s="179">
        <f>SUM(C14:M14)</f>
        <v/>
      </c>
    </row>
    <row r="15" ht="15" customHeight="1" s="133">
      <c r="A15" s="146" t="inlineStr">
        <is>
          <t>KYC/AML integration (Deferred - iComply partnership Phase 2)</t>
        </is>
      </c>
      <c r="B15" s="176" t="inlineStr">
        <is>
          <t>Vendor+Internal</t>
        </is>
      </c>
      <c r="C15" s="225" t="n">
        <v>0</v>
      </c>
      <c r="D15" s="225" t="n">
        <v>0</v>
      </c>
      <c r="E15" s="225" t="n">
        <v>0</v>
      </c>
      <c r="F15" s="225" t="n">
        <v>30000</v>
      </c>
      <c r="G15" s="225" t="n">
        <v>30000</v>
      </c>
      <c r="H15" s="225" t="n">
        <v>0</v>
      </c>
      <c r="I15" s="225" t="n">
        <v>0</v>
      </c>
      <c r="J15" s="225" t="n">
        <v>0</v>
      </c>
      <c r="K15" s="225" t="n">
        <v>0</v>
      </c>
      <c r="L15" s="225" t="n">
        <v>0</v>
      </c>
      <c r="M15" s="225" t="n">
        <v>0</v>
      </c>
      <c r="N15" s="179">
        <f>SUM(C15:M15)</f>
        <v/>
      </c>
    </row>
    <row r="16" ht="15" customHeight="1" s="133">
      <c r="A16" s="146" t="inlineStr">
        <is>
          <t>Custody integration (Deferred - Phase 2)</t>
        </is>
      </c>
      <c r="B16" s="176" t="inlineStr">
        <is>
          <t>Vendor+Internal</t>
        </is>
      </c>
      <c r="C16" s="225" t="n">
        <v>0</v>
      </c>
      <c r="D16" s="225" t="n">
        <v>0</v>
      </c>
      <c r="E16" s="225" t="n">
        <v>0</v>
      </c>
      <c r="F16" s="225" t="n">
        <v>50000</v>
      </c>
      <c r="G16" s="225" t="n">
        <v>30000</v>
      </c>
      <c r="H16" s="225" t="n">
        <v>0</v>
      </c>
      <c r="I16" s="225" t="n">
        <v>0</v>
      </c>
      <c r="J16" s="225" t="n">
        <v>0</v>
      </c>
      <c r="K16" s="225" t="n">
        <v>0</v>
      </c>
      <c r="L16" s="225" t="n">
        <v>0</v>
      </c>
      <c r="M16" s="225" t="n">
        <v>0</v>
      </c>
      <c r="N16" s="179">
        <f>SUM(C16:M16)</f>
        <v/>
      </c>
    </row>
    <row r="17" ht="15" customHeight="1" s="133">
      <c r="A17" s="146" t="inlineStr">
        <is>
          <t>(reserved slot)</t>
        </is>
      </c>
      <c r="B17" s="176" t="n"/>
      <c r="C17" s="225" t="n">
        <v>0</v>
      </c>
      <c r="D17" s="225" t="n">
        <v>0</v>
      </c>
      <c r="E17" s="225" t="n">
        <v>0</v>
      </c>
      <c r="F17" s="225" t="n">
        <v>0</v>
      </c>
      <c r="G17" s="225" t="n">
        <v>0</v>
      </c>
      <c r="H17" s="225" t="n">
        <v>0</v>
      </c>
      <c r="I17" s="225" t="n">
        <v>0</v>
      </c>
      <c r="J17" s="225" t="n">
        <v>0</v>
      </c>
      <c r="K17" s="225" t="n">
        <v>0</v>
      </c>
      <c r="L17" s="225" t="n">
        <v>0</v>
      </c>
      <c r="M17" s="225" t="n">
        <v>0</v>
      </c>
      <c r="N17" s="179">
        <f>SUM(C17:M17)</f>
        <v/>
      </c>
    </row>
    <row r="18" ht="15" customHeight="1" s="133">
      <c r="A18" s="146" t="inlineStr">
        <is>
          <t>Secondary market / trading engine</t>
        </is>
      </c>
      <c r="B18" s="176" t="inlineStr">
        <is>
          <t>Internal</t>
        </is>
      </c>
      <c r="C18" s="225" t="n">
        <v>0</v>
      </c>
      <c r="D18" s="225">
        <f>IF('Control Panel'!$B$22=1,0,25000)</f>
        <v/>
      </c>
      <c r="E18" s="225">
        <f>IF('Control Panel'!$B$22=1,0,25000)</f>
        <v/>
      </c>
      <c r="F18" s="225">
        <f>IF('Control Panel'!$B$22=1,0,35000)</f>
        <v/>
      </c>
      <c r="G18" s="225">
        <f>IF('Control Panel'!$B$22=1,0,35000)</f>
        <v/>
      </c>
      <c r="H18" s="225" t="n">
        <v>0</v>
      </c>
      <c r="I18" s="225" t="n">
        <v>0</v>
      </c>
      <c r="J18" s="225" t="n">
        <v>0</v>
      </c>
      <c r="K18" s="225" t="n">
        <v>0</v>
      </c>
      <c r="L18" s="225" t="n">
        <v>0</v>
      </c>
      <c r="M18" s="225" t="n">
        <v>0</v>
      </c>
      <c r="N18" s="179">
        <f>SUM(C18:M18)</f>
        <v/>
      </c>
    </row>
    <row r="19" ht="15" customHeight="1" s="133">
      <c r="A19" s="146" t="inlineStr">
        <is>
          <t>Mobile app development</t>
        </is>
      </c>
      <c r="B19" s="176" t="inlineStr">
        <is>
          <t>Internal</t>
        </is>
      </c>
      <c r="C19" s="225" t="n">
        <v>0</v>
      </c>
      <c r="D19" s="225" t="n">
        <v>0</v>
      </c>
      <c r="E19" s="225" t="n">
        <v>0</v>
      </c>
      <c r="F19" s="225" t="n">
        <v>37500</v>
      </c>
      <c r="G19" s="225" t="n">
        <v>37500</v>
      </c>
      <c r="H19" s="225" t="n">
        <v>20000</v>
      </c>
      <c r="I19" s="225" t="n">
        <v>20000</v>
      </c>
      <c r="J19" s="225" t="n">
        <v>0</v>
      </c>
      <c r="K19" s="225" t="n">
        <v>0</v>
      </c>
      <c r="L19" s="225" t="n">
        <v>0</v>
      </c>
      <c r="M19" s="225" t="n">
        <v>0</v>
      </c>
      <c r="N19" s="179">
        <f>SUM(C19:M19)</f>
        <v/>
      </c>
    </row>
    <row r="20" ht="15" customHeight="1" s="133">
      <c r="A20" s="146" t="inlineStr">
        <is>
          <t>Multi-chain expansion</t>
        </is>
      </c>
      <c r="B20" s="176" t="inlineStr">
        <is>
          <t>Internal</t>
        </is>
      </c>
      <c r="C20" s="225" t="n">
        <v>0</v>
      </c>
      <c r="D20" s="225" t="n">
        <v>0</v>
      </c>
      <c r="E20" s="225" t="n">
        <v>0</v>
      </c>
      <c r="F20" s="225" t="n">
        <v>0</v>
      </c>
      <c r="G20" s="225" t="n">
        <v>0</v>
      </c>
      <c r="H20" s="225" t="n">
        <v>25000</v>
      </c>
      <c r="I20" s="225" t="n">
        <v>25000</v>
      </c>
      <c r="J20" s="225" t="n">
        <v>17500</v>
      </c>
      <c r="K20" s="225" t="n">
        <v>17500</v>
      </c>
      <c r="L20" s="225" t="n">
        <v>0</v>
      </c>
      <c r="M20" s="225" t="n">
        <v>0</v>
      </c>
      <c r="N20" s="179">
        <f>SUM(C20:M20)</f>
        <v/>
      </c>
    </row>
    <row r="21" ht="15" customHeight="1" s="133">
      <c r="A21" s="146" t="inlineStr">
        <is>
          <t>API marketplace for FI integrations</t>
        </is>
      </c>
      <c r="B21" s="176" t="inlineStr">
        <is>
          <t>Internal</t>
        </is>
      </c>
      <c r="C21" s="225" t="n">
        <v>0</v>
      </c>
      <c r="D21" s="225" t="n">
        <v>0</v>
      </c>
      <c r="E21" s="225" t="n">
        <v>0</v>
      </c>
      <c r="F21" s="225" t="n">
        <v>0</v>
      </c>
      <c r="G21" s="225" t="n">
        <v>0</v>
      </c>
      <c r="H21" s="225">
        <f>IF('Control Panel'!$B$22=1,0,20000)</f>
        <v/>
      </c>
      <c r="I21" s="225">
        <f>IF('Control Panel'!$B$22=1,0,20000)</f>
        <v/>
      </c>
      <c r="J21" s="225">
        <f>IF('Control Panel'!$B$22=1,0,12500)</f>
        <v/>
      </c>
      <c r="K21" s="225">
        <f>IF('Control Panel'!$B$22=1,0,12500)</f>
        <v/>
      </c>
      <c r="L21" s="225" t="n">
        <v>0</v>
      </c>
      <c r="M21" s="225" t="n">
        <v>0</v>
      </c>
      <c r="N21" s="179">
        <f>SUM(C21:M21)</f>
        <v/>
      </c>
    </row>
    <row r="22">
      <c r="A22" s="131" t="inlineStr">
        <is>
          <t>Alberta Sandbox admission prep</t>
        </is>
      </c>
      <c r="B22" s="131" t="inlineStr">
        <is>
          <t>Internal</t>
        </is>
      </c>
      <c r="C22" s="131" t="n">
        <v>30000</v>
      </c>
      <c r="D22" s="131" t="n">
        <v>20000</v>
      </c>
      <c r="E22" s="131" t="n">
        <v>0</v>
      </c>
      <c r="F22" s="131" t="n">
        <v>0</v>
      </c>
      <c r="G22" s="131" t="n">
        <v>0</v>
      </c>
      <c r="H22" s="131" t="n">
        <v>0</v>
      </c>
      <c r="I22" s="131" t="n">
        <v>0</v>
      </c>
      <c r="J22" s="131" t="n">
        <v>0</v>
      </c>
      <c r="K22" s="131" t="n">
        <v>0</v>
      </c>
      <c r="L22" s="131" t="n">
        <v>0</v>
      </c>
      <c r="M22" s="131" t="n">
        <v>0</v>
      </c>
      <c r="N22" s="131">
        <f>SUM(C22:M22)</f>
        <v/>
      </c>
    </row>
    <row r="23" ht="15" customHeight="1" s="133">
      <c r="A23" s="151" t="inlineStr">
        <is>
          <t>SECURITY &amp; AUDIT</t>
        </is>
      </c>
      <c r="B23" s="151" t="n"/>
      <c r="C23" s="151" t="n"/>
      <c r="D23" s="151" t="n"/>
      <c r="E23" s="151" t="n"/>
      <c r="F23" s="151" t="n"/>
      <c r="G23" s="151" t="n"/>
      <c r="H23" s="151" t="n"/>
      <c r="I23" s="151" t="n"/>
      <c r="J23" s="151" t="n"/>
      <c r="K23" s="151" t="n"/>
      <c r="L23" s="151" t="n"/>
      <c r="M23" s="151" t="n"/>
      <c r="N23" s="151" t="n"/>
    </row>
    <row r="24" ht="15" customHeight="1" s="133">
      <c r="A24" s="146" t="inlineStr">
        <is>
          <t>Smart contract audit (initial - Trail of Bits)</t>
        </is>
      </c>
      <c r="B24" s="176" t="inlineStr">
        <is>
          <t>External</t>
        </is>
      </c>
      <c r="C24" s="225" t="n">
        <v>0</v>
      </c>
      <c r="D24" s="225" t="n">
        <v>0</v>
      </c>
      <c r="E24" s="225" t="n">
        <v>0</v>
      </c>
      <c r="F24" s="225" t="n">
        <v>80000</v>
      </c>
      <c r="G24" s="225" t="n">
        <v>0</v>
      </c>
      <c r="H24" s="225" t="n">
        <v>0</v>
      </c>
      <c r="I24" s="225" t="n">
        <v>0</v>
      </c>
      <c r="J24" s="225" t="n">
        <v>0</v>
      </c>
      <c r="K24" s="225" t="n">
        <v>0</v>
      </c>
      <c r="L24" s="225" t="n">
        <v>0</v>
      </c>
      <c r="M24" s="225" t="n">
        <v>0</v>
      </c>
      <c r="N24" s="179">
        <f>SUM(C24:M24)</f>
        <v/>
      </c>
    </row>
    <row r="25" ht="15" customHeight="1" s="133">
      <c r="A25" s="146" t="inlineStr">
        <is>
          <t>Smart contract audit (annual re-audit)</t>
        </is>
      </c>
      <c r="B25" s="176" t="inlineStr">
        <is>
          <t>External</t>
        </is>
      </c>
      <c r="C25" s="225" t="n">
        <v>0</v>
      </c>
      <c r="D25" s="225" t="n">
        <v>25000</v>
      </c>
      <c r="E25" s="225" t="n">
        <v>25000</v>
      </c>
      <c r="F25" s="225" t="n">
        <v>25000</v>
      </c>
      <c r="G25" s="225" t="n">
        <v>25000</v>
      </c>
      <c r="H25" s="225" t="n">
        <v>25000</v>
      </c>
      <c r="I25" s="225" t="n">
        <v>25000</v>
      </c>
      <c r="J25" s="225" t="n">
        <v>25000</v>
      </c>
      <c r="K25" s="225" t="n">
        <v>25000</v>
      </c>
      <c r="L25" s="225" t="n">
        <v>25000</v>
      </c>
      <c r="M25" s="225" t="n">
        <v>25000</v>
      </c>
      <c r="N25" s="179">
        <f>SUM(C25:M25)</f>
        <v/>
      </c>
    </row>
    <row r="26" ht="15" customHeight="1" s="133">
      <c r="A26" s="146" t="inlineStr">
        <is>
          <t>Penetration testing (initial)</t>
        </is>
      </c>
      <c r="B26" s="176" t="inlineStr">
        <is>
          <t>External</t>
        </is>
      </c>
      <c r="C26" s="225" t="n">
        <v>0</v>
      </c>
      <c r="D26" s="225" t="n">
        <v>0</v>
      </c>
      <c r="E26" s="225" t="n">
        <v>0</v>
      </c>
      <c r="F26" s="225" t="n">
        <v>40000</v>
      </c>
      <c r="G26" s="225" t="n">
        <v>0</v>
      </c>
      <c r="H26" s="225" t="n">
        <v>0</v>
      </c>
      <c r="I26" s="225" t="n">
        <v>0</v>
      </c>
      <c r="J26" s="225" t="n">
        <v>0</v>
      </c>
      <c r="K26" s="225" t="n">
        <v>0</v>
      </c>
      <c r="L26" s="225" t="n">
        <v>0</v>
      </c>
      <c r="M26" s="225" t="n">
        <v>0</v>
      </c>
      <c r="N26" s="179">
        <f>SUM(C26:M26)</f>
        <v/>
      </c>
    </row>
    <row r="27" ht="15" customHeight="1" s="133">
      <c r="A27" s="146" t="inlineStr">
        <is>
          <t>Penetration testing (annual)</t>
        </is>
      </c>
      <c r="B27" s="176" t="inlineStr">
        <is>
          <t>External</t>
        </is>
      </c>
      <c r="C27" s="225" t="n">
        <v>0</v>
      </c>
      <c r="D27" s="225" t="n">
        <v>12500</v>
      </c>
      <c r="E27" s="225" t="n">
        <v>12500</v>
      </c>
      <c r="F27" s="225" t="n">
        <v>12500</v>
      </c>
      <c r="G27" s="225" t="n">
        <v>12500</v>
      </c>
      <c r="H27" s="225" t="n">
        <v>12500</v>
      </c>
      <c r="I27" s="225" t="n">
        <v>12500</v>
      </c>
      <c r="J27" s="225" t="n">
        <v>12500</v>
      </c>
      <c r="K27" s="225" t="n">
        <v>12500</v>
      </c>
      <c r="L27" s="225" t="n">
        <v>12500</v>
      </c>
      <c r="M27" s="225" t="n">
        <v>12500</v>
      </c>
      <c r="N27" s="179">
        <f>SUM(C27:M27)</f>
        <v/>
      </c>
    </row>
    <row r="28" ht="15" customHeight="1" s="133">
      <c r="A28" s="146" t="inlineStr">
        <is>
          <t>SOC 2 Type II certification</t>
        </is>
      </c>
      <c r="B28" s="176" t="inlineStr">
        <is>
          <t>External</t>
        </is>
      </c>
      <c r="C28" s="225" t="n">
        <v>0</v>
      </c>
      <c r="D28" s="225" t="n">
        <v>0</v>
      </c>
      <c r="E28" s="225" t="n">
        <v>0</v>
      </c>
      <c r="F28" s="225" t="n">
        <v>0</v>
      </c>
      <c r="G28" s="225" t="n">
        <v>30000</v>
      </c>
      <c r="H28" s="225" t="n">
        <v>30000</v>
      </c>
      <c r="I28" s="225" t="n">
        <v>0</v>
      </c>
      <c r="J28" s="225" t="n">
        <v>0</v>
      </c>
      <c r="K28" s="225" t="n">
        <v>0</v>
      </c>
      <c r="L28" s="225" t="n">
        <v>0</v>
      </c>
      <c r="M28" s="225" t="n">
        <v>0</v>
      </c>
      <c r="N28" s="179">
        <f>SUM(C28:M28)</f>
        <v/>
      </c>
    </row>
    <row r="29">
      <c r="A29" s="131" t="inlineStr">
        <is>
          <t>Patent provisional filings</t>
        </is>
      </c>
      <c r="B29" s="131" t="inlineStr">
        <is>
          <t>Legal+Filing</t>
        </is>
      </c>
      <c r="C29" s="131" t="n">
        <v>15000</v>
      </c>
      <c r="D29" s="131" t="n">
        <v>0</v>
      </c>
      <c r="E29" s="131" t="n">
        <v>0</v>
      </c>
      <c r="F29" s="131" t="n">
        <v>0</v>
      </c>
      <c r="G29" s="131" t="n">
        <v>0</v>
      </c>
      <c r="H29" s="131" t="n">
        <v>0</v>
      </c>
      <c r="I29" s="131" t="n">
        <v>0</v>
      </c>
      <c r="J29" s="131" t="n">
        <v>0</v>
      </c>
      <c r="K29" s="131" t="n">
        <v>0</v>
      </c>
      <c r="L29" s="131" t="n">
        <v>0</v>
      </c>
      <c r="M29" s="131" t="n">
        <v>0</v>
      </c>
      <c r="N29" s="131">
        <f>SUM(C29:M29)</f>
        <v/>
      </c>
    </row>
    <row r="30" ht="15" customHeight="1" s="133">
      <c r="A30" s="157" t="inlineStr">
        <is>
          <t>REGULATORY &amp; LICENSING (ONE-TIME)</t>
        </is>
      </c>
      <c r="B30" s="157" t="n"/>
      <c r="C30" s="157" t="n"/>
      <c r="D30" s="157" t="n"/>
      <c r="E30" s="157" t="n"/>
      <c r="F30" s="157" t="n"/>
      <c r="G30" s="157" t="n"/>
      <c r="H30" s="157" t="n"/>
      <c r="I30" s="157" t="n"/>
      <c r="J30" s="157" t="n"/>
      <c r="K30" s="157" t="n"/>
      <c r="L30" s="157" t="n"/>
      <c r="M30" s="157" t="n"/>
      <c r="N30" s="157" t="n"/>
    </row>
    <row r="31" ht="15" customHeight="1" s="133">
      <c r="A31" s="146" t="inlineStr">
        <is>
          <t>CIRO dealer registration (application)</t>
        </is>
      </c>
      <c r="B31" s="176" t="inlineStr">
        <is>
          <t>Legal+Filing</t>
        </is>
      </c>
      <c r="C31" s="225" t="n">
        <v>0</v>
      </c>
      <c r="D31" s="225" t="n">
        <v>0</v>
      </c>
      <c r="E31" s="225" t="n">
        <v>0</v>
      </c>
      <c r="F31" s="225" t="n">
        <v>150000</v>
      </c>
      <c r="G31" s="225" t="n">
        <v>50000</v>
      </c>
      <c r="H31" s="225" t="n">
        <v>50000</v>
      </c>
      <c r="I31" s="225" t="n">
        <v>0</v>
      </c>
      <c r="J31" s="225" t="n">
        <v>0</v>
      </c>
      <c r="K31" s="225" t="n">
        <v>0</v>
      </c>
      <c r="L31" s="225" t="n">
        <v>0</v>
      </c>
      <c r="M31" s="225" t="n">
        <v>0</v>
      </c>
      <c r="N31" s="179">
        <f>SUM(C31:M31)</f>
        <v/>
      </c>
    </row>
    <row r="32" ht="15" customHeight="1" s="133">
      <c r="A32" s="146" t="inlineStr">
        <is>
          <t>CSA prospectus / exemption filing</t>
        </is>
      </c>
      <c r="B32" s="176" t="inlineStr">
        <is>
          <t>Legal</t>
        </is>
      </c>
      <c r="C32" s="225" t="n">
        <v>0</v>
      </c>
      <c r="D32" s="225" t="n">
        <v>0</v>
      </c>
      <c r="E32" s="225" t="n">
        <v>0</v>
      </c>
      <c r="F32" s="225" t="n">
        <v>80000</v>
      </c>
      <c r="G32" s="225" t="n">
        <v>20000</v>
      </c>
      <c r="H32" s="225" t="n">
        <v>20000</v>
      </c>
      <c r="I32" s="225" t="n">
        <v>0</v>
      </c>
      <c r="J32" s="225" t="n">
        <v>0</v>
      </c>
      <c r="K32" s="225" t="n">
        <v>0</v>
      </c>
      <c r="L32" s="225" t="n">
        <v>0</v>
      </c>
      <c r="M32" s="225" t="n">
        <v>0</v>
      </c>
      <c r="N32" s="179">
        <f>SUM(C32:M32)</f>
        <v/>
      </c>
    </row>
    <row r="33" ht="15" customHeight="1" s="133">
      <c r="A33" s="146" t="inlineStr">
        <is>
          <t>Legal structuring (token legal opinion)</t>
        </is>
      </c>
      <c r="B33" s="176" t="inlineStr">
        <is>
          <t>External</t>
        </is>
      </c>
      <c r="C33" s="225" t="n">
        <v>30000</v>
      </c>
      <c r="D33" s="225" t="n">
        <v>0</v>
      </c>
      <c r="E33" s="225" t="n">
        <v>0</v>
      </c>
      <c r="F33" s="225" t="n">
        <v>30000</v>
      </c>
      <c r="G33" s="225" t="n">
        <v>15000</v>
      </c>
      <c r="H33" s="225" t="n">
        <v>15000</v>
      </c>
      <c r="I33" s="225" t="n">
        <v>0</v>
      </c>
      <c r="J33" s="225" t="n">
        <v>0</v>
      </c>
      <c r="K33" s="225" t="n">
        <v>0</v>
      </c>
      <c r="L33" s="225" t="n">
        <v>0</v>
      </c>
      <c r="M33" s="225" t="n">
        <v>0</v>
      </c>
      <c r="N33" s="179">
        <f>SUM(C33:M33)</f>
        <v/>
      </c>
    </row>
    <row r="34" ht="15" customHeight="1" s="133">
      <c r="A34" s="146" t="inlineStr">
        <is>
          <t>Provincial registrations (AB, BC)</t>
        </is>
      </c>
      <c r="B34" s="176" t="inlineStr">
        <is>
          <t>Filing</t>
        </is>
      </c>
      <c r="C34" s="225" t="n">
        <v>10000</v>
      </c>
      <c r="D34" s="225" t="n">
        <v>0</v>
      </c>
      <c r="E34" s="225" t="n">
        <v>0</v>
      </c>
      <c r="F34" s="225" t="n">
        <v>15000</v>
      </c>
      <c r="G34" s="225" t="n">
        <v>0</v>
      </c>
      <c r="H34" s="225" t="n">
        <v>0</v>
      </c>
      <c r="I34" s="225" t="n">
        <v>0</v>
      </c>
      <c r="J34" s="225" t="n">
        <v>0</v>
      </c>
      <c r="K34" s="225" t="n">
        <v>0</v>
      </c>
      <c r="L34" s="225" t="n">
        <v>0</v>
      </c>
      <c r="M34" s="225" t="n">
        <v>0</v>
      </c>
      <c r="N34" s="179">
        <f>SUM(C34:M34)</f>
        <v/>
      </c>
    </row>
    <row r="35" ht="15" customHeight="1" s="133">
      <c r="A35" s="216" t="inlineStr">
        <is>
          <t>TOTAL DevEx (platform Build)</t>
        </is>
      </c>
      <c r="B35" s="216" t="n"/>
      <c r="C35" s="181">
        <f>C6+C7+C8+C9+C10+C11+C13+C14+C15+C16+C17+C18+C19+C20+C21+C22+C24+C25+C26+C27+C28+C29+C31+C32+C33+C34</f>
        <v/>
      </c>
      <c r="D35" s="181">
        <f>D6+D7+D8+D9+D10+D11+D13+D14+D15+D16+D17+D18+D19+D20+D21+D22+D24+D25+D26+D27+D28+D29+D31+D32+D33+D34</f>
        <v/>
      </c>
      <c r="E35" s="181">
        <f>E6+E7+E8+E9+E10+E11+E13+E14+E15+E16+E17+E18+E19+E20+E21+E22+E24+E25+E26+E27+E28+E29+E31+E32+E33+E34</f>
        <v/>
      </c>
      <c r="F35" s="181">
        <f>F6+F7+F8+F9+F10+F11+F13+F14+F15+F16+F17+F18+F19+F20+F21+F22+F24+F25+F26+F27+F28+F29+F31+F32+F33+F34</f>
        <v/>
      </c>
      <c r="G35" s="181">
        <f>G6+G7+G8+G9+G10+G11+G13+G14+G15+G16+G17+G18+G19+G20+G21+G22+G24+G25+G26+G27+G28+G29+G31+G32+G33+G34</f>
        <v/>
      </c>
      <c r="H35" s="181">
        <f>H6+H7+H8+H9+H10+H11+H13+H14+H15+H16+H17+H18+H19+H20+H21+H22+H24+H25+H26+H27+H28+H29+H31+H32+H33+H34</f>
        <v/>
      </c>
      <c r="I35" s="181">
        <f>I6+I7+I8+I9+I10+I11+I13+I14+I15+I16+I17+I18+I19+I20+I21+I22+I24+I25+I26+I27+I28+I29+I31+I32+I33+I34</f>
        <v/>
      </c>
      <c r="J35" s="181">
        <f>J6+J7+J8+J9+J10+J11+J13+J14+J15+J16+J17+J18+J19+J20+J21+J22+J24+J25+J26+J27+J28+J29+J31+J32+J33+J34</f>
        <v/>
      </c>
      <c r="K35" s="181">
        <f>K6+K7+K8+K9+K10+K11+K13+K14+K15+K16+K17+K18+K19+K20+K21+K22+K24+K25+K26+K27+K28+K29+K31+K32+K33+K34</f>
        <v/>
      </c>
      <c r="L35" s="181">
        <f>L6+L7+L8+L9+L10+L11+L13+L14+L15+L16+L17+L18+L19+L20+L21+L22+L24+L25+L26+L27+L28+L29+L31+L32+L33+L34</f>
        <v/>
      </c>
      <c r="M35" s="181">
        <f>M6+M7+M8+M9+M10+M11+M13+M14+M15+M16+M17+M18+M19+M20+M21+M22+M24+M25+M26+M27+M28+M29+M31+M32+M33+M34</f>
        <v/>
      </c>
      <c r="N35" s="181">
        <f>SUM(C35:M35)</f>
        <v/>
      </c>
    </row>
    <row r="36" ht="15" customHeight="1" s="133">
      <c r="A36" s="232" t="inlineStr">
        <is>
          <t>TOTAL DevEx (Traditional Build - +35% internal)</t>
        </is>
      </c>
      <c r="C36" s="210">
        <f>C35*1.35</f>
        <v/>
      </c>
      <c r="D36" s="210">
        <f>D35*1.35</f>
        <v/>
      </c>
      <c r="E36" s="210">
        <f>E35*1.35</f>
        <v/>
      </c>
      <c r="F36" s="210">
        <f>F35*1.35</f>
        <v/>
      </c>
      <c r="G36" s="210">
        <f>G35*1.35</f>
        <v/>
      </c>
      <c r="H36" s="210">
        <f>H35*1.35</f>
        <v/>
      </c>
      <c r="I36" s="210">
        <f>I35*1.35</f>
        <v/>
      </c>
      <c r="J36" s="210">
        <f>J35*1.35</f>
        <v/>
      </c>
      <c r="K36" s="210">
        <f>K35*1.35</f>
        <v/>
      </c>
      <c r="L36" s="210">
        <f>L35*1.35</f>
        <v/>
      </c>
      <c r="M36" s="210">
        <f>M35*1.35</f>
        <v/>
      </c>
      <c r="N36" s="210">
        <f>SUM(C36:M36)</f>
        <v/>
      </c>
    </row>
    <row r="37" ht="15" customHeight="1" s="133">
      <c r="A37" s="231" t="inlineStr">
        <is>
          <t>EFFICIENT BUILD SAVINGS</t>
        </is>
      </c>
      <c r="C37" s="199">
        <f>C36-C35</f>
        <v/>
      </c>
      <c r="D37" s="199">
        <f>D36-D35</f>
        <v/>
      </c>
      <c r="E37" s="199">
        <f>E36-E35</f>
        <v/>
      </c>
      <c r="F37" s="199">
        <f>F36-F35</f>
        <v/>
      </c>
      <c r="G37" s="199">
        <f>G36-G35</f>
        <v/>
      </c>
      <c r="H37" s="199">
        <f>H36-H35</f>
        <v/>
      </c>
      <c r="I37" s="199">
        <f>I36-I35</f>
        <v/>
      </c>
      <c r="J37" s="199">
        <f>J36-J35</f>
        <v/>
      </c>
      <c r="K37" s="199">
        <f>K36-K35</f>
        <v/>
      </c>
      <c r="L37" s="199">
        <f>L36-L35</f>
        <v/>
      </c>
      <c r="M37" s="199">
        <f>M36-M35</f>
        <v/>
      </c>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ED7D31"/>
    <outlinePr summaryBelow="1" summaryRight="1"/>
    <pageSetUpPr fitToPage="0"/>
  </sheetPr>
  <dimension ref="A1:O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40" customWidth="1" style="131" min="1" max="1"/>
    <col width="12" customWidth="1" style="131" min="2" max="2"/>
    <col width="10" customWidth="1" style="131" min="3" max="13"/>
    <col width="13" customWidth="1" style="131" min="14" max="14"/>
    <col width="32" customWidth="1" style="131" min="15" max="15"/>
  </cols>
  <sheetData>
    <row r="1" ht="46.5" customFormat="1" customHeight="1" s="141">
      <c r="A1" s="142" t="inlineStr">
        <is>
          <t>4ORM FINANCE - OPERATING EXPENSES | the platform BUILD vs TRADITIONAL COMPARE</t>
        </is>
      </c>
    </row>
    <row r="2" ht="15" customHeight="1" s="133">
      <c r="A2" s="143" t="inlineStr">
        <is>
          <t>platform Build = lower team cost, higher tooling | Traditional = full team, no tooling</t>
        </is>
      </c>
    </row>
    <row r="4" ht="15" customHeight="1" s="133">
      <c r="A4" s="144" t="inlineStr">
        <is>
          <t>Category / Item</t>
        </is>
      </c>
      <c r="B4" s="144" t="inlineStr">
        <is>
          <t>Escalation</t>
        </is>
      </c>
      <c r="C4" s="144" t="inlineStr">
        <is>
          <t>platform H2 2026</t>
        </is>
      </c>
      <c r="D4" s="144" t="inlineStr">
        <is>
          <t>platform H1 2027</t>
        </is>
      </c>
      <c r="E4" s="144" t="inlineStr">
        <is>
          <t>platform H2 2027</t>
        </is>
      </c>
      <c r="F4" s="144" t="inlineStr">
        <is>
          <t>platform H1 2028</t>
        </is>
      </c>
      <c r="G4" s="144" t="inlineStr">
        <is>
          <t>platform H2 2028</t>
        </is>
      </c>
      <c r="H4" s="144" t="inlineStr">
        <is>
          <t>platform H1 2029</t>
        </is>
      </c>
      <c r="I4" s="144" t="inlineStr">
        <is>
          <t>platform H2 2029</t>
        </is>
      </c>
      <c r="J4" s="144" t="inlineStr">
        <is>
          <t>platform H1 2030</t>
        </is>
      </c>
      <c r="K4" s="144" t="inlineStr">
        <is>
          <t>platform H2 2030</t>
        </is>
      </c>
      <c r="L4" s="144" t="inlineStr">
        <is>
          <t>platform H1 2031</t>
        </is>
      </c>
      <c r="M4" s="144" t="inlineStr">
        <is>
          <t>platform H2 2031</t>
        </is>
      </c>
      <c r="N4" s="144" t="inlineStr">
        <is>
          <t>Trad Delta</t>
        </is>
      </c>
      <c r="O4" s="144" t="inlineStr">
        <is>
          <t>Notes</t>
        </is>
      </c>
    </row>
    <row r="5" ht="15" customHeight="1" s="133">
      <c r="A5" s="150" t="inlineStr">
        <is>
          <t>TEAM COMPENSATION (platform Build)</t>
        </is>
      </c>
      <c r="B5" s="150" t="n"/>
      <c r="C5" s="150" t="n"/>
      <c r="D5" s="150" t="n"/>
      <c r="E5" s="150" t="n"/>
      <c r="F5" s="150" t="n"/>
      <c r="G5" s="150" t="n"/>
      <c r="H5" s="150" t="n"/>
      <c r="I5" s="150" t="n"/>
      <c r="J5" s="150" t="n"/>
      <c r="K5" s="150" t="n"/>
      <c r="L5" s="150" t="n"/>
      <c r="M5" s="150" t="n"/>
      <c r="N5" s="150" t="n"/>
      <c r="O5" s="150" t="n"/>
    </row>
    <row r="6" ht="15" customHeight="1" s="133">
      <c r="A6" s="146" t="inlineStr">
        <is>
          <t>Team Comp (linked to Team Roadmap row 39 - the platform Build)</t>
        </is>
      </c>
      <c r="B6" s="176" t="inlineStr">
        <is>
          <t>3% raises/yr</t>
        </is>
      </c>
      <c r="C6" s="225">
        <f>'Team Roadmap'!C39</f>
        <v/>
      </c>
      <c r="D6" s="225">
        <f>'Team Roadmap'!D39</f>
        <v/>
      </c>
      <c r="E6" s="225">
        <f>'Team Roadmap'!E39</f>
        <v/>
      </c>
      <c r="F6" s="225">
        <f>'Team Roadmap'!F39</f>
        <v/>
      </c>
      <c r="G6" s="225">
        <f>'Team Roadmap'!G39</f>
        <v/>
      </c>
      <c r="H6" s="225">
        <f>'Team Roadmap'!H39</f>
        <v/>
      </c>
      <c r="I6" s="225">
        <f>'Team Roadmap'!I39</f>
        <v/>
      </c>
      <c r="J6" s="225">
        <f>'Team Roadmap'!J39</f>
        <v/>
      </c>
      <c r="K6" s="225">
        <f>'Team Roadmap'!K39</f>
        <v/>
      </c>
      <c r="L6" s="225">
        <f>'Team Roadmap'!L39</f>
        <v/>
      </c>
      <c r="M6" s="225">
        <f>'Team Roadmap'!M39</f>
        <v/>
      </c>
      <c r="N6" s="153" t="n"/>
      <c r="O6" s="149" t="inlineStr">
        <is>
          <t>efficiency-augmented team</t>
        </is>
      </c>
    </row>
    <row r="7" ht="15" customHeight="1" s="133">
      <c r="A7" s="146" t="inlineStr">
        <is>
          <t>Benefits &amp; Payroll Tax (rate in B7)</t>
        </is>
      </c>
      <c r="B7" s="176" t="n">
        <v>0.18</v>
      </c>
      <c r="C7" s="225">
        <f>C6*$B$7</f>
        <v/>
      </c>
      <c r="D7" s="225">
        <f>D6*$B$7</f>
        <v/>
      </c>
      <c r="E7" s="225">
        <f>E6*$B$7</f>
        <v/>
      </c>
      <c r="F7" s="225">
        <f>F6*$B$7</f>
        <v/>
      </c>
      <c r="G7" s="225">
        <f>G6*$B$7</f>
        <v/>
      </c>
      <c r="H7" s="225">
        <f>H6*$B$7</f>
        <v/>
      </c>
      <c r="I7" s="225">
        <f>I6*$B$7</f>
        <v/>
      </c>
      <c r="J7" s="225">
        <f>J6*$B$7</f>
        <v/>
      </c>
      <c r="K7" s="225">
        <f>K6*$B$7</f>
        <v/>
      </c>
      <c r="L7" s="225">
        <f>L6*$B$7</f>
        <v/>
      </c>
      <c r="M7" s="225">
        <f>M6*$B$7</f>
        <v/>
      </c>
      <c r="N7" s="153" t="n"/>
      <c r="O7" s="149" t="inlineStr">
        <is>
          <t>CPP, EI, health, RRSP</t>
        </is>
      </c>
    </row>
    <row r="8" ht="15" customHeight="1" s="133">
      <c r="A8" s="146" t="inlineStr">
        <is>
          <t>Advisor cash retainers (memo - included in Team Comp above)</t>
        </is>
      </c>
      <c r="B8" s="176" t="inlineStr">
        <is>
          <t>3% raises/yr</t>
        </is>
      </c>
      <c r="C8" s="225" t="n">
        <v>0</v>
      </c>
      <c r="D8" s="225" t="n">
        <v>0</v>
      </c>
      <c r="E8" s="225" t="n">
        <v>0</v>
      </c>
      <c r="F8" s="225" t="n">
        <v>0</v>
      </c>
      <c r="G8" s="225" t="n">
        <v>0</v>
      </c>
      <c r="H8" s="225" t="n">
        <v>0</v>
      </c>
      <c r="I8" s="225" t="n">
        <v>0</v>
      </c>
      <c r="J8" s="225" t="n">
        <v>0</v>
      </c>
      <c r="K8" s="225" t="n">
        <v>0</v>
      </c>
      <c r="L8" s="225" t="n">
        <v>0</v>
      </c>
      <c r="M8" s="225" t="n">
        <v>0</v>
      </c>
      <c r="N8" s="215" t="inlineStr"/>
      <c r="O8" s="149" t="inlineStr">
        <is>
          <t>Bruce+Dean+CFO+Kevin PT (already in Team Roadmap)</t>
        </is>
      </c>
    </row>
    <row r="9" ht="15" customHeight="1" s="133">
      <c r="A9" s="145" t="inlineStr">
        <is>
          <t>DEVELOPER TOOLING &amp; PLATFORMS</t>
        </is>
      </c>
      <c r="B9" s="145" t="n"/>
      <c r="C9" s="145" t="n"/>
      <c r="D9" s="145" t="n"/>
      <c r="E9" s="145" t="n"/>
      <c r="F9" s="145" t="n"/>
      <c r="G9" s="145" t="n"/>
      <c r="H9" s="145" t="n"/>
      <c r="I9" s="145" t="n"/>
      <c r="J9" s="145" t="n"/>
      <c r="K9" s="145" t="n"/>
      <c r="L9" s="145" t="n"/>
      <c r="M9" s="145" t="n"/>
      <c r="N9" s="145" t="n"/>
      <c r="O9" s="145" t="n"/>
    </row>
    <row r="10" ht="15" customHeight="1" s="133">
      <c r="A10" s="146" t="inlineStr">
        <is>
          <t>GitHub Copilot Business (5-8 seats)</t>
        </is>
      </c>
      <c r="B10" s="176" t="inlineStr">
        <is>
          <t>5%/yr</t>
        </is>
      </c>
      <c r="C10" s="225" t="n">
        <v>2850</v>
      </c>
      <c r="D10" s="225" t="n">
        <v>2850</v>
      </c>
      <c r="E10" s="225" t="n">
        <v>2850</v>
      </c>
      <c r="F10" s="225" t="n">
        <v>2992</v>
      </c>
      <c r="G10" s="225" t="n">
        <v>2992</v>
      </c>
      <c r="H10" s="225" t="n">
        <v>3142</v>
      </c>
      <c r="I10" s="225" t="n">
        <v>3142</v>
      </c>
      <c r="J10" s="225" t="n">
        <v>3300</v>
      </c>
      <c r="K10" s="225" t="n">
        <v>3300</v>
      </c>
      <c r="L10" s="225" t="n">
        <v>3464</v>
      </c>
      <c r="M10" s="225" t="n">
        <v>3464</v>
      </c>
      <c r="N10" s="233" t="inlineStr">
        <is>
          <t>-$6.9K</t>
        </is>
      </c>
      <c r="O10" s="149" t="n"/>
    </row>
    <row r="11" ht="15" customHeight="1" s="133">
      <c r="A11" s="146" t="inlineStr">
        <is>
          <t>Cursor Pro (5-8 seats)</t>
        </is>
      </c>
      <c r="B11" s="176" t="inlineStr">
        <is>
          <t>5%/yr</t>
        </is>
      </c>
      <c r="C11" s="225" t="n">
        <v>600</v>
      </c>
      <c r="D11" s="225" t="n">
        <v>600</v>
      </c>
      <c r="E11" s="225" t="n">
        <v>600</v>
      </c>
      <c r="F11" s="225" t="n">
        <v>630</v>
      </c>
      <c r="G11" s="225" t="n">
        <v>630</v>
      </c>
      <c r="H11" s="225" t="n">
        <v>662</v>
      </c>
      <c r="I11" s="225" t="n">
        <v>662</v>
      </c>
      <c r="J11" s="225" t="n">
        <v>694</v>
      </c>
      <c r="K11" s="225" t="n">
        <v>694</v>
      </c>
      <c r="L11" s="225" t="n">
        <v>730</v>
      </c>
      <c r="M11" s="225" t="n">
        <v>730</v>
      </c>
      <c r="N11" s="233" t="inlineStr">
        <is>
          <t>-$1.5K</t>
        </is>
      </c>
      <c r="O11" s="149" t="n"/>
    </row>
    <row r="12" ht="15" customHeight="1" s="133">
      <c r="A12" s="146" t="inlineStr">
        <is>
          <t>Snyk (Team)</t>
        </is>
      </c>
      <c r="B12" s="176" t="inlineStr">
        <is>
          <t>5%/yr</t>
        </is>
      </c>
      <c r="C12" s="225" t="n">
        <v>3000</v>
      </c>
      <c r="D12" s="225" t="n">
        <v>3000</v>
      </c>
      <c r="E12" s="225" t="n">
        <v>3000</v>
      </c>
      <c r="F12" s="225" t="n">
        <v>3150</v>
      </c>
      <c r="G12" s="225" t="n">
        <v>3150</v>
      </c>
      <c r="H12" s="225" t="n">
        <v>3308</v>
      </c>
      <c r="I12" s="225" t="n">
        <v>3308</v>
      </c>
      <c r="J12" s="225" t="n">
        <v>3473</v>
      </c>
      <c r="K12" s="225" t="n">
        <v>3473</v>
      </c>
      <c r="L12" s="225" t="n">
        <v>3646</v>
      </c>
      <c r="M12" s="225" t="n">
        <v>3646</v>
      </c>
      <c r="N12" s="233" t="inlineStr">
        <is>
          <t>-$7.3K</t>
        </is>
      </c>
      <c r="O12" s="149" t="n"/>
    </row>
    <row r="13" ht="15" customHeight="1" s="133">
      <c r="A13" s="146" t="inlineStr">
        <is>
          <t>Codiumplatform + CodeRabbit</t>
        </is>
      </c>
      <c r="B13" s="176" t="inlineStr">
        <is>
          <t>5%/yr</t>
        </is>
      </c>
      <c r="C13" s="225" t="n">
        <v>2100</v>
      </c>
      <c r="D13" s="225" t="n">
        <v>2100</v>
      </c>
      <c r="E13" s="225" t="n">
        <v>2100</v>
      </c>
      <c r="F13" s="225" t="n">
        <v>2205</v>
      </c>
      <c r="G13" s="225" t="n">
        <v>2205</v>
      </c>
      <c r="H13" s="225" t="n">
        <v>2316</v>
      </c>
      <c r="I13" s="225" t="n">
        <v>2316</v>
      </c>
      <c r="J13" s="225" t="n">
        <v>2431</v>
      </c>
      <c r="K13" s="225" t="n">
        <v>2431</v>
      </c>
      <c r="L13" s="225" t="n">
        <v>2552</v>
      </c>
      <c r="M13" s="225" t="n">
        <v>2552</v>
      </c>
      <c r="N13" s="233" t="inlineStr">
        <is>
          <t>-$5.1K</t>
        </is>
      </c>
      <c r="O13" s="149" t="n"/>
    </row>
    <row r="14" ht="15" customHeight="1" s="133">
      <c r="A14" s="146" t="inlineStr">
        <is>
          <t>Datadog (Pro)</t>
        </is>
      </c>
      <c r="B14" s="176" t="inlineStr">
        <is>
          <t>10%/yr</t>
        </is>
      </c>
      <c r="C14" s="225" t="n">
        <v>9000</v>
      </c>
      <c r="D14" s="225" t="n">
        <v>9000</v>
      </c>
      <c r="E14" s="225" t="n">
        <v>9000</v>
      </c>
      <c r="F14" s="225" t="n">
        <v>9900</v>
      </c>
      <c r="G14" s="225" t="n">
        <v>9900</v>
      </c>
      <c r="H14" s="225" t="n">
        <v>10890</v>
      </c>
      <c r="I14" s="225" t="n">
        <v>10890</v>
      </c>
      <c r="J14" s="225" t="n">
        <v>11979</v>
      </c>
      <c r="K14" s="225" t="n">
        <v>11979</v>
      </c>
      <c r="L14" s="225" t="n">
        <v>13177</v>
      </c>
      <c r="M14" s="225" t="n">
        <v>13177</v>
      </c>
      <c r="N14" s="153" t="inlineStr">
        <is>
          <t>$0</t>
        </is>
      </c>
      <c r="O14" s="149" t="inlineStr">
        <is>
          <t>Needed either way</t>
        </is>
      </c>
    </row>
    <row r="15" ht="15" customHeight="1" s="133">
      <c r="A15" s="146" t="inlineStr">
        <is>
          <t>Claude API + Openplatform API</t>
        </is>
      </c>
      <c r="B15" s="176" t="inlineStr">
        <is>
          <t>12%/yr</t>
        </is>
      </c>
      <c r="C15" s="225" t="n">
        <v>4800</v>
      </c>
      <c r="D15" s="225" t="n">
        <v>4800</v>
      </c>
      <c r="E15" s="225" t="n">
        <v>4800</v>
      </c>
      <c r="F15" s="225" t="n">
        <v>5376</v>
      </c>
      <c r="G15" s="225" t="n">
        <v>5376</v>
      </c>
      <c r="H15" s="225" t="n">
        <v>6021</v>
      </c>
      <c r="I15" s="225" t="n">
        <v>6021</v>
      </c>
      <c r="J15" s="225" t="n">
        <v>6744</v>
      </c>
      <c r="K15" s="225" t="n">
        <v>6744</v>
      </c>
      <c r="L15" s="225" t="n">
        <v>7553</v>
      </c>
      <c r="M15" s="225" t="n">
        <v>7553</v>
      </c>
      <c r="N15" s="233" t="inlineStr">
        <is>
          <t>-$15.1K</t>
        </is>
      </c>
      <c r="O15" s="149" t="n"/>
    </row>
    <row r="16" ht="15" customHeight="1" s="133">
      <c r="A16" s="146" t="inlineStr">
        <is>
          <t>Mintlify + v0 Vercel</t>
        </is>
      </c>
      <c r="B16" s="176" t="inlineStr">
        <is>
          <t>5%/yr</t>
        </is>
      </c>
      <c r="C16" s="225" t="n">
        <v>1020</v>
      </c>
      <c r="D16" s="225" t="n">
        <v>1020</v>
      </c>
      <c r="E16" s="225" t="n">
        <v>1020</v>
      </c>
      <c r="F16" s="225" t="n">
        <v>1071</v>
      </c>
      <c r="G16" s="225" t="n">
        <v>1071</v>
      </c>
      <c r="H16" s="225" t="n">
        <v>1124</v>
      </c>
      <c r="I16" s="225" t="n">
        <v>1124</v>
      </c>
      <c r="J16" s="225" t="n">
        <v>1181</v>
      </c>
      <c r="K16" s="225" t="n">
        <v>1181</v>
      </c>
      <c r="L16" s="225" t="n">
        <v>1240</v>
      </c>
      <c r="M16" s="225" t="n">
        <v>1240</v>
      </c>
      <c r="N16" s="233" t="inlineStr">
        <is>
          <t>-$2.5K</t>
        </is>
      </c>
      <c r="O16" s="149" t="n"/>
    </row>
    <row r="17" ht="15" customHeight="1" s="133">
      <c r="A17" s="151" t="inlineStr">
        <is>
          <t>REGULATORY &amp; COMPLIANCE</t>
        </is>
      </c>
      <c r="B17" s="151" t="n"/>
      <c r="C17" s="151" t="n"/>
      <c r="D17" s="151" t="n"/>
      <c r="E17" s="151" t="n"/>
      <c r="F17" s="151" t="n"/>
      <c r="G17" s="151" t="n"/>
      <c r="H17" s="151" t="n"/>
      <c r="I17" s="151" t="n"/>
      <c r="J17" s="151" t="n"/>
      <c r="K17" s="151" t="n"/>
      <c r="L17" s="151" t="n"/>
      <c r="M17" s="151" t="n"/>
      <c r="N17" s="151" t="n"/>
      <c r="O17" s="151" t="n"/>
    </row>
    <row r="18" ht="15" customHeight="1" s="133">
      <c r="A18" s="146" t="inlineStr">
        <is>
          <t>CIRO/CSA annual fees</t>
        </is>
      </c>
      <c r="B18" s="176" t="inlineStr">
        <is>
          <t>3%/yr</t>
        </is>
      </c>
      <c r="C18" s="225" t="n">
        <v>0</v>
      </c>
      <c r="D18" s="225" t="n">
        <v>0</v>
      </c>
      <c r="E18" s="225" t="n">
        <v>0</v>
      </c>
      <c r="F18" s="225" t="n">
        <v>0</v>
      </c>
      <c r="G18" s="225" t="n">
        <v>30900</v>
      </c>
      <c r="H18" s="225" t="n">
        <v>31827</v>
      </c>
      <c r="I18" s="225" t="n">
        <v>31827</v>
      </c>
      <c r="J18" s="225" t="n">
        <v>32782</v>
      </c>
      <c r="K18" s="225" t="n">
        <v>32782</v>
      </c>
      <c r="L18" s="225" t="n">
        <v>33766</v>
      </c>
      <c r="M18" s="225" t="n">
        <v>33766</v>
      </c>
      <c r="N18" s="153" t="inlineStr">
        <is>
          <t>$0</t>
        </is>
      </c>
      <c r="O18" s="149" t="n"/>
    </row>
    <row r="19" ht="15" customHeight="1" s="133">
      <c r="A19" s="146" t="inlineStr">
        <is>
          <t>External legal counsel</t>
        </is>
      </c>
      <c r="B19" s="176" t="inlineStr">
        <is>
          <t>5%/yr</t>
        </is>
      </c>
      <c r="C19" s="225" t="n">
        <v>50000</v>
      </c>
      <c r="D19" s="225" t="n">
        <v>50000</v>
      </c>
      <c r="E19" s="225" t="n">
        <v>50000</v>
      </c>
      <c r="F19" s="225" t="n">
        <v>52500</v>
      </c>
      <c r="G19" s="225" t="n">
        <v>52500</v>
      </c>
      <c r="H19" s="225" t="n">
        <v>55125</v>
      </c>
      <c r="I19" s="225" t="n">
        <v>55125</v>
      </c>
      <c r="J19" s="225" t="n">
        <v>57882</v>
      </c>
      <c r="K19" s="225" t="n">
        <v>57882</v>
      </c>
      <c r="L19" s="225" t="n">
        <v>60776</v>
      </c>
      <c r="M19" s="225" t="n">
        <v>60776</v>
      </c>
      <c r="N19" s="153" t="inlineStr">
        <is>
          <t>$0</t>
        </is>
      </c>
      <c r="O19" s="149" t="n"/>
    </row>
    <row r="20" ht="15" customHeight="1" s="133">
      <c r="A20" s="146" t="inlineStr">
        <is>
          <t>Audit &amp; accounting</t>
        </is>
      </c>
      <c r="B20" s="176" t="inlineStr">
        <is>
          <t>5%/yr</t>
        </is>
      </c>
      <c r="C20" s="225" t="n">
        <v>30000</v>
      </c>
      <c r="D20" s="225" t="n">
        <v>30000</v>
      </c>
      <c r="E20" s="225" t="n">
        <v>37500</v>
      </c>
      <c r="F20" s="225" t="n">
        <v>39375</v>
      </c>
      <c r="G20" s="225" t="n">
        <v>39375</v>
      </c>
      <c r="H20" s="225" t="n">
        <v>41344</v>
      </c>
      <c r="I20" s="225" t="n">
        <v>41344</v>
      </c>
      <c r="J20" s="225" t="n">
        <v>43411</v>
      </c>
      <c r="K20" s="225" t="n">
        <v>43411</v>
      </c>
      <c r="L20" s="225" t="n">
        <v>45582</v>
      </c>
      <c r="M20" s="225" t="n">
        <v>45582</v>
      </c>
      <c r="N20" s="153" t="inlineStr">
        <is>
          <t>$0</t>
        </is>
      </c>
      <c r="O20" s="149" t="n"/>
    </row>
    <row r="21" ht="15" customHeight="1" s="133">
      <c r="A21" s="146" t="inlineStr">
        <is>
          <t>Compliance software (Chainalysis)</t>
        </is>
      </c>
      <c r="B21" s="176" t="inlineStr">
        <is>
          <t>8%/yr</t>
        </is>
      </c>
      <c r="C21" s="225" t="n">
        <v>0</v>
      </c>
      <c r="D21" s="225" t="n">
        <v>0</v>
      </c>
      <c r="E21" s="225" t="n">
        <v>0</v>
      </c>
      <c r="F21" s="225" t="n">
        <v>0</v>
      </c>
      <c r="G21" s="225" t="n">
        <v>27000</v>
      </c>
      <c r="H21" s="225" t="n">
        <v>29160</v>
      </c>
      <c r="I21" s="225" t="n">
        <v>29160</v>
      </c>
      <c r="J21" s="225" t="n">
        <v>31493</v>
      </c>
      <c r="K21" s="225" t="n">
        <v>31493</v>
      </c>
      <c r="L21" s="225" t="n">
        <v>34012</v>
      </c>
      <c r="M21" s="225" t="n">
        <v>34012</v>
      </c>
      <c r="N21" s="153" t="inlineStr">
        <is>
          <t>$0</t>
        </is>
      </c>
      <c r="O21" s="149" t="n"/>
    </row>
    <row r="22" ht="15" customHeight="1" s="133">
      <c r="A22" s="146" t="inlineStr">
        <is>
          <t>Insurance (D&amp;O, E&amp;O, Cyber)</t>
        </is>
      </c>
      <c r="B22" s="176" t="inlineStr">
        <is>
          <t>10%/yr</t>
        </is>
      </c>
      <c r="C22" s="225" t="n">
        <v>30000</v>
      </c>
      <c r="D22" s="225" t="n">
        <v>30000</v>
      </c>
      <c r="E22" s="225" t="n">
        <v>50000</v>
      </c>
      <c r="F22" s="225" t="n">
        <v>55000</v>
      </c>
      <c r="G22" s="225" t="n">
        <v>55000</v>
      </c>
      <c r="H22" s="225" t="n">
        <v>60500</v>
      </c>
      <c r="I22" s="225" t="n">
        <v>60500</v>
      </c>
      <c r="J22" s="225" t="n">
        <v>66550</v>
      </c>
      <c r="K22" s="225" t="n">
        <v>66550</v>
      </c>
      <c r="L22" s="225" t="n">
        <v>73205</v>
      </c>
      <c r="M22" s="225" t="n">
        <v>73205</v>
      </c>
      <c r="N22" s="153" t="inlineStr">
        <is>
          <t>$0</t>
        </is>
      </c>
      <c r="O22" s="149" t="n"/>
    </row>
    <row r="23" ht="15" customHeight="1" s="133">
      <c r="A23" s="146" t="inlineStr">
        <is>
          <t>Licensing &amp; reg filings</t>
        </is>
      </c>
      <c r="B23" s="176" t="inlineStr">
        <is>
          <t>3%/yr</t>
        </is>
      </c>
      <c r="C23" s="225" t="n">
        <v>5000</v>
      </c>
      <c r="D23" s="225" t="n">
        <v>5000</v>
      </c>
      <c r="E23" s="225" t="n">
        <v>7500</v>
      </c>
      <c r="F23" s="225" t="n">
        <v>7725</v>
      </c>
      <c r="G23" s="225" t="n">
        <v>7725</v>
      </c>
      <c r="H23" s="225" t="n">
        <v>7957</v>
      </c>
      <c r="I23" s="225" t="n">
        <v>7957</v>
      </c>
      <c r="J23" s="225" t="n">
        <v>8196</v>
      </c>
      <c r="K23" s="225" t="n">
        <v>8196</v>
      </c>
      <c r="L23" s="225" t="n">
        <v>8441</v>
      </c>
      <c r="M23" s="225" t="n">
        <v>8441</v>
      </c>
      <c r="N23" s="153" t="inlineStr">
        <is>
          <t>$0</t>
        </is>
      </c>
      <c r="O23" s="149" t="n"/>
    </row>
    <row r="24" ht="15" customHeight="1" s="133">
      <c r="A24" s="157" t="inlineStr">
        <is>
          <t>TECHNOLOGY &amp; INFRASTRUCTURE</t>
        </is>
      </c>
      <c r="B24" s="157" t="n"/>
      <c r="C24" s="157" t="n"/>
      <c r="D24" s="157" t="n"/>
      <c r="E24" s="157" t="n"/>
      <c r="F24" s="157" t="n"/>
      <c r="G24" s="157" t="n"/>
      <c r="H24" s="157" t="n"/>
      <c r="I24" s="157" t="n"/>
      <c r="J24" s="157" t="n"/>
      <c r="K24" s="157" t="n"/>
      <c r="L24" s="157" t="n"/>
      <c r="M24" s="157" t="n"/>
      <c r="N24" s="157" t="n"/>
      <c r="O24" s="157" t="n"/>
    </row>
    <row r="25" ht="15" customHeight="1" s="133">
      <c r="A25" s="146" t="inlineStr">
        <is>
          <t>Cloud hosting (AWS/Azure)</t>
        </is>
      </c>
      <c r="B25" s="176" t="inlineStr">
        <is>
          <t>15%/yr</t>
        </is>
      </c>
      <c r="C25" s="225" t="n">
        <v>18000</v>
      </c>
      <c r="D25" s="225" t="n">
        <v>18000</v>
      </c>
      <c r="E25" s="225" t="n">
        <v>18000</v>
      </c>
      <c r="F25" s="225" t="n">
        <v>20700</v>
      </c>
      <c r="G25" s="225" t="n">
        <v>20700</v>
      </c>
      <c r="H25" s="225" t="n">
        <v>23805</v>
      </c>
      <c r="I25" s="225" t="n">
        <v>23805</v>
      </c>
      <c r="J25" s="225" t="n">
        <v>27376</v>
      </c>
      <c r="K25" s="225" t="n">
        <v>27376</v>
      </c>
      <c r="L25" s="225" t="n">
        <v>31482</v>
      </c>
      <c r="M25" s="225" t="n">
        <v>31482</v>
      </c>
      <c r="N25" s="153" t="inlineStr">
        <is>
          <t>$0</t>
        </is>
      </c>
      <c r="O25" s="149" t="n"/>
    </row>
    <row r="26" ht="15" customHeight="1" s="133">
      <c r="A26" s="146" t="inlineStr">
        <is>
          <t>Blockchain infra (nodes/RPC)</t>
        </is>
      </c>
      <c r="B26" s="176" t="inlineStr">
        <is>
          <t>10%/yr</t>
        </is>
      </c>
      <c r="C26" s="225" t="n">
        <v>12000</v>
      </c>
      <c r="D26" s="225" t="n">
        <v>12000</v>
      </c>
      <c r="E26" s="225" t="n">
        <v>12000</v>
      </c>
      <c r="F26" s="225" t="n">
        <v>13200</v>
      </c>
      <c r="G26" s="225" t="n">
        <v>13200</v>
      </c>
      <c r="H26" s="225" t="n">
        <v>14520</v>
      </c>
      <c r="I26" s="225" t="n">
        <v>14520</v>
      </c>
      <c r="J26" s="225" t="n">
        <v>15972</v>
      </c>
      <c r="K26" s="225" t="n">
        <v>15972</v>
      </c>
      <c r="L26" s="225" t="n">
        <v>17569</v>
      </c>
      <c r="M26" s="225" t="n">
        <v>17569</v>
      </c>
      <c r="N26" s="153" t="inlineStr">
        <is>
          <t>$0</t>
        </is>
      </c>
      <c r="O26" s="149" t="n"/>
    </row>
    <row r="27" ht="15" customHeight="1" s="133">
      <c r="A27" s="146" t="inlineStr">
        <is>
          <t>API &amp; data services</t>
        </is>
      </c>
      <c r="B27" s="176" t="inlineStr">
        <is>
          <t>5%/yr</t>
        </is>
      </c>
      <c r="C27" s="225" t="n">
        <v>6000</v>
      </c>
      <c r="D27" s="225" t="n">
        <v>6000</v>
      </c>
      <c r="E27" s="225" t="n">
        <v>6000</v>
      </c>
      <c r="F27" s="225" t="n">
        <v>6300</v>
      </c>
      <c r="G27" s="225" t="n">
        <v>6300</v>
      </c>
      <c r="H27" s="225" t="n">
        <v>6615</v>
      </c>
      <c r="I27" s="225" t="n">
        <v>6615</v>
      </c>
      <c r="J27" s="225" t="n">
        <v>6946</v>
      </c>
      <c r="K27" s="225" t="n">
        <v>6946</v>
      </c>
      <c r="L27" s="225" t="n">
        <v>7293</v>
      </c>
      <c r="M27" s="225" t="n">
        <v>7293</v>
      </c>
      <c r="N27" s="153" t="inlineStr">
        <is>
          <t>$0</t>
        </is>
      </c>
      <c r="O27" s="149" t="n"/>
    </row>
    <row r="28" ht="15" customHeight="1" s="133">
      <c r="A28" s="146" t="inlineStr">
        <is>
          <t>Cybersecurity &amp; monitoring</t>
        </is>
      </c>
      <c r="B28" s="176" t="inlineStr">
        <is>
          <t>8%/yr</t>
        </is>
      </c>
      <c r="C28" s="225" t="n">
        <v>9000</v>
      </c>
      <c r="D28" s="225" t="n">
        <v>9000</v>
      </c>
      <c r="E28" s="225" t="n">
        <v>9000</v>
      </c>
      <c r="F28" s="225" t="n">
        <v>9720</v>
      </c>
      <c r="G28" s="225" t="n">
        <v>9720</v>
      </c>
      <c r="H28" s="225" t="n">
        <v>10498</v>
      </c>
      <c r="I28" s="225" t="n">
        <v>10498</v>
      </c>
      <c r="J28" s="225" t="n">
        <v>11338</v>
      </c>
      <c r="K28" s="225" t="n">
        <v>11338</v>
      </c>
      <c r="L28" s="225" t="n">
        <v>12244</v>
      </c>
      <c r="M28" s="225" t="n">
        <v>12244</v>
      </c>
      <c r="N28" s="153" t="inlineStr">
        <is>
          <t>$0</t>
        </is>
      </c>
      <c r="O28" s="149" t="n"/>
    </row>
    <row r="29" ht="15" customHeight="1" s="133">
      <c r="A29" s="146" t="inlineStr">
        <is>
          <t>DR, backups, CDN, SSL</t>
        </is>
      </c>
      <c r="B29" s="176" t="inlineStr">
        <is>
          <t>4%/yr</t>
        </is>
      </c>
      <c r="C29" s="225" t="n">
        <v>6000</v>
      </c>
      <c r="D29" s="225" t="n">
        <v>6000</v>
      </c>
      <c r="E29" s="225" t="n">
        <v>6000</v>
      </c>
      <c r="F29" s="225" t="n">
        <v>6240</v>
      </c>
      <c r="G29" s="225" t="n">
        <v>6240</v>
      </c>
      <c r="H29" s="225" t="n">
        <v>6490</v>
      </c>
      <c r="I29" s="225" t="n">
        <v>6490</v>
      </c>
      <c r="J29" s="225" t="n">
        <v>6749</v>
      </c>
      <c r="K29" s="225" t="n">
        <v>6749</v>
      </c>
      <c r="L29" s="225" t="n">
        <v>7019</v>
      </c>
      <c r="M29" s="225" t="n">
        <v>7019</v>
      </c>
      <c r="N29" s="153" t="inlineStr">
        <is>
          <t>$0</t>
        </is>
      </c>
      <c r="O29" s="149" t="n"/>
    </row>
    <row r="30" ht="15" customHeight="1" s="133">
      <c r="A30" s="164" t="inlineStr">
        <is>
          <t>OPERATIONS &amp; OVERHEAD</t>
        </is>
      </c>
      <c r="B30" s="164" t="n"/>
      <c r="C30" s="164" t="n"/>
      <c r="D30" s="164" t="n"/>
      <c r="E30" s="164" t="n"/>
      <c r="F30" s="164" t="n"/>
      <c r="G30" s="164" t="n"/>
      <c r="H30" s="164" t="n"/>
      <c r="I30" s="164" t="n"/>
      <c r="J30" s="164" t="n"/>
      <c r="K30" s="164" t="n"/>
      <c r="L30" s="164" t="n"/>
      <c r="M30" s="164" t="n"/>
      <c r="N30" s="164" t="n"/>
      <c r="O30" s="164" t="n"/>
    </row>
    <row r="31" ht="15" customHeight="1" s="133">
      <c r="A31" s="146" t="inlineStr">
        <is>
          <t>Office rent &amp; utilities</t>
        </is>
      </c>
      <c r="B31" s="176" t="inlineStr">
        <is>
          <t>5%/yr</t>
        </is>
      </c>
      <c r="C31" s="225" t="n">
        <v>12000</v>
      </c>
      <c r="D31" s="225" t="n">
        <v>12000</v>
      </c>
      <c r="E31" s="225" t="n">
        <v>18000</v>
      </c>
      <c r="F31" s="225" t="n">
        <v>24000</v>
      </c>
      <c r="G31" s="225" t="n">
        <v>24000</v>
      </c>
      <c r="H31" s="225" t="n">
        <v>30000</v>
      </c>
      <c r="I31" s="225" t="n">
        <v>30000</v>
      </c>
      <c r="J31" s="225" t="n">
        <v>36000</v>
      </c>
      <c r="K31" s="225" t="n">
        <v>36000</v>
      </c>
      <c r="L31" s="225" t="n">
        <v>42000</v>
      </c>
      <c r="M31" s="225" t="n">
        <v>42000</v>
      </c>
      <c r="N31" s="215" t="inlineStr">
        <is>
          <t>+$12K/yr</t>
        </is>
      </c>
      <c r="O31" s="149" t="n"/>
    </row>
    <row r="32" ht="15" customHeight="1" s="133">
      <c r="A32" s="146" t="inlineStr">
        <is>
          <t>Travel &amp; conferences</t>
        </is>
      </c>
      <c r="B32" s="176" t="inlineStr">
        <is>
          <t>10%/yr</t>
        </is>
      </c>
      <c r="C32" s="225" t="n">
        <v>10000</v>
      </c>
      <c r="D32" s="225" t="n">
        <v>10000</v>
      </c>
      <c r="E32" s="225" t="n">
        <v>7500</v>
      </c>
      <c r="F32" s="225" t="n">
        <v>10000</v>
      </c>
      <c r="G32" s="225" t="n">
        <v>10000</v>
      </c>
      <c r="H32" s="225" t="n">
        <v>12500</v>
      </c>
      <c r="I32" s="225" t="n">
        <v>12500</v>
      </c>
      <c r="J32" s="225" t="n">
        <v>15000</v>
      </c>
      <c r="K32" s="225" t="n">
        <v>15000</v>
      </c>
      <c r="L32" s="225" t="n">
        <v>17500</v>
      </c>
      <c r="M32" s="225" t="n">
        <v>17500</v>
      </c>
      <c r="N32" s="153" t="inlineStr">
        <is>
          <t>$0</t>
        </is>
      </c>
      <c r="O32" s="149" t="n"/>
    </row>
    <row r="33" ht="15" customHeight="1" s="133">
      <c r="A33" s="146" t="inlineStr">
        <is>
          <t>Marketing &amp; BD</t>
        </is>
      </c>
      <c r="B33" s="176" t="inlineStr">
        <is>
          <t>25%/yr</t>
        </is>
      </c>
      <c r="C33" s="225" t="n">
        <v>10000</v>
      </c>
      <c r="D33" s="225" t="n">
        <v>10000</v>
      </c>
      <c r="E33" s="225" t="n">
        <v>7500</v>
      </c>
      <c r="F33" s="225" t="n">
        <v>12500</v>
      </c>
      <c r="G33" s="225" t="n">
        <v>12500</v>
      </c>
      <c r="H33" s="225" t="n">
        <v>20000</v>
      </c>
      <c r="I33" s="225" t="n">
        <v>20000</v>
      </c>
      <c r="J33" s="225" t="n">
        <v>30000</v>
      </c>
      <c r="K33" s="225" t="n">
        <v>30000</v>
      </c>
      <c r="L33" s="225" t="n">
        <v>40000</v>
      </c>
      <c r="M33" s="225" t="n">
        <v>40000</v>
      </c>
      <c r="N33" s="153" t="inlineStr">
        <is>
          <t>$0</t>
        </is>
      </c>
      <c r="O33" s="149" t="n"/>
    </row>
    <row r="34" ht="15" customHeight="1" s="133">
      <c r="A34" s="146" t="inlineStr">
        <is>
          <t>HR &amp; recruitment</t>
        </is>
      </c>
      <c r="B34" s="176" t="inlineStr">
        <is>
          <t>20%/yr</t>
        </is>
      </c>
      <c r="C34" s="225" t="n">
        <v>2000</v>
      </c>
      <c r="D34" s="225" t="n">
        <v>2000</v>
      </c>
      <c r="E34" s="225" t="n">
        <v>5000</v>
      </c>
      <c r="F34" s="225" t="n">
        <v>7500</v>
      </c>
      <c r="G34" s="225" t="n">
        <v>7500</v>
      </c>
      <c r="H34" s="225" t="n">
        <v>10000</v>
      </c>
      <c r="I34" s="225" t="n">
        <v>10000</v>
      </c>
      <c r="J34" s="225" t="n">
        <v>15000</v>
      </c>
      <c r="K34" s="225" t="n">
        <v>15000</v>
      </c>
      <c r="L34" s="225" t="n">
        <v>20000</v>
      </c>
      <c r="M34" s="225" t="n">
        <v>20000</v>
      </c>
      <c r="N34" s="215" t="inlineStr">
        <is>
          <t>+$15K/yr</t>
        </is>
      </c>
      <c r="O34" s="149" t="n"/>
    </row>
    <row r="35" ht="15" customHeight="1" s="133">
      <c r="A35" s="146" t="inlineStr">
        <is>
          <t>Office supplies &amp; misc.</t>
        </is>
      </c>
      <c r="B35" s="176" t="inlineStr">
        <is>
          <t>5%/yr</t>
        </is>
      </c>
      <c r="C35" s="225" t="n">
        <v>2000</v>
      </c>
      <c r="D35" s="225" t="n">
        <v>2000</v>
      </c>
      <c r="E35" s="225" t="n">
        <v>2500</v>
      </c>
      <c r="F35" s="225" t="n">
        <v>3000</v>
      </c>
      <c r="G35" s="225" t="n">
        <v>3000</v>
      </c>
      <c r="H35" s="225" t="n">
        <v>3750</v>
      </c>
      <c r="I35" s="225" t="n">
        <v>3750</v>
      </c>
      <c r="J35" s="225" t="n">
        <v>4500</v>
      </c>
      <c r="K35" s="225" t="n">
        <v>4500</v>
      </c>
      <c r="L35" s="225" t="n">
        <v>5000</v>
      </c>
      <c r="M35" s="225" t="n">
        <v>5000</v>
      </c>
      <c r="N35" s="153" t="inlineStr">
        <is>
          <t>$0</t>
        </is>
      </c>
      <c r="O35" s="149" t="n"/>
    </row>
    <row r="36" ht="15" customHeight="1" s="133">
      <c r="A36" s="146" t="inlineStr">
        <is>
          <t>Software subs (general)</t>
        </is>
      </c>
      <c r="B36" s="176" t="inlineStr">
        <is>
          <t>5%/yr</t>
        </is>
      </c>
      <c r="C36" s="225" t="n">
        <v>5000</v>
      </c>
      <c r="D36" s="225" t="n">
        <v>5000</v>
      </c>
      <c r="E36" s="225" t="n">
        <v>7760</v>
      </c>
      <c r="F36" s="225" t="n">
        <v>8148</v>
      </c>
      <c r="G36" s="225" t="n">
        <v>8148</v>
      </c>
      <c r="H36" s="225" t="n">
        <v>8556</v>
      </c>
      <c r="I36" s="225" t="n">
        <v>8556</v>
      </c>
      <c r="J36" s="225" t="n">
        <v>8983</v>
      </c>
      <c r="K36" s="225" t="n">
        <v>8983</v>
      </c>
      <c r="L36" s="225" t="n">
        <v>9432</v>
      </c>
      <c r="M36" s="225" t="n">
        <v>9432</v>
      </c>
      <c r="N36" s="153" t="inlineStr">
        <is>
          <t>$0</t>
        </is>
      </c>
      <c r="O36" s="149" t="n"/>
    </row>
    <row r="37" ht="15" customHeight="1" s="133">
      <c r="A37" s="146" t="inlineStr">
        <is>
          <t>SR&amp;ED Tax Credit (gated by CP toggle B24)</t>
        </is>
      </c>
      <c r="B37" s="176" t="inlineStr">
        <is>
          <t>-</t>
        </is>
      </c>
      <c r="C37" s="225">
        <f>-10000*'Control Panel'!$B$24</f>
        <v/>
      </c>
      <c r="D37" s="225">
        <f>-10000*'Control Panel'!$B$24</f>
        <v/>
      </c>
      <c r="E37" s="225">
        <f>-15000*'Control Panel'!$B$24</f>
        <v/>
      </c>
      <c r="F37" s="225">
        <f>-15000*'Control Panel'!$B$24</f>
        <v/>
      </c>
      <c r="G37" s="225">
        <f>-15000*'Control Panel'!$B$24</f>
        <v/>
      </c>
      <c r="H37" s="225">
        <f>-12500*'Control Panel'!$B$24</f>
        <v/>
      </c>
      <c r="I37" s="225">
        <f>-12500*'Control Panel'!$B$24</f>
        <v/>
      </c>
      <c r="J37" s="225">
        <f>-10000*'Control Panel'!$B$24</f>
        <v/>
      </c>
      <c r="K37" s="225">
        <f>-10000*'Control Panel'!$B$24</f>
        <v/>
      </c>
      <c r="L37" s="225">
        <f>-7500*'Control Panel'!$B$24</f>
        <v/>
      </c>
      <c r="M37" s="225">
        <f>-7500*'Control Panel'!$B$24</f>
        <v/>
      </c>
      <c r="N37" s="153" t="inlineStr">
        <is>
          <t>$0</t>
        </is>
      </c>
      <c r="O37" s="149" t="inlineStr">
        <is>
          <t>Est. 15-20% of eligible R&amp;D</t>
        </is>
      </c>
    </row>
    <row r="38" ht="15" customHeight="1" s="133">
      <c r="A38" s="216" t="inlineStr">
        <is>
          <t>TOTAL OpEx (platform Build)</t>
        </is>
      </c>
      <c r="B38" s="216" t="n"/>
      <c r="C38" s="181">
        <f>C6+C7+C8+C10+C11+C12+C13+C14+C15+C16+C18+C19+C20+C21+C22+C23+C25+C26+C27+C28+C29+C31+C32+C33+C34+C35+C36+C37</f>
        <v/>
      </c>
      <c r="D38" s="181">
        <f>D6+D7+D8+D10+D11+D12+D13+D14+D15+D16+D18+D19+D20+D21+D22+D23+D25+D26+D27+D28+D29+D31+D32+D33+D34+D35+D36+D37</f>
        <v/>
      </c>
      <c r="E38" s="181">
        <f>E6+E7+E8+E10+E11+E12+E13+E14+E15+E16+E18+E19+E20+E21+E22+E23+E25+E26+E27+E28+E29+E31+E32+E33+E34+E35+E36+E37</f>
        <v/>
      </c>
      <c r="F38" s="181">
        <f>F6+F7+F8+F10+F11+F12+F13+F14+F15+F16+F18+F19+F20+F21+F22+F23+F25+F26+F27+F28+F29+F31+F32+F33+F34+F35+F36+F37</f>
        <v/>
      </c>
      <c r="G38" s="181">
        <f>G6+G7+G8+G10+G11+G12+G13+G14+G15+G16+G18+G19+G20+G21+G22+G23+G25+G26+G27+G28+G29+G31+G32+G33+G34+G35+G36+G37</f>
        <v/>
      </c>
      <c r="H38" s="181">
        <f>H6+H7+H8+H10+H11+H12+H13+H14+H15+H16+H18+H19+H20+H21+H22+H23+H25+H26+H27+H28+H29+H31+H32+H33+H34+H35+H36+H37</f>
        <v/>
      </c>
      <c r="I38" s="181">
        <f>I6+I7+I8+I10+I11+I12+I13+I14+I15+I16+I18+I19+I20+I21+I22+I23+I25+I26+I27+I28+I29+I31+I32+I33+I34+I35+I36+I37</f>
        <v/>
      </c>
      <c r="J38" s="181">
        <f>J6+J7+J8+J10+J11+J12+J13+J14+J15+J16+J18+J19+J20+J21+J22+J23+J25+J26+J27+J28+J29+J31+J32+J33+J34+J35+J36+J37</f>
        <v/>
      </c>
      <c r="K38" s="181">
        <f>K6+K7+K8+K10+K11+K12+K13+K14+K15+K16+K18+K19+K20+K21+K22+K23+K25+K26+K27+K28+K29+K31+K32+K33+K34+K35+K36+K37</f>
        <v/>
      </c>
      <c r="L38" s="181">
        <f>L6+L7+L8+L10+L11+L12+L13+L14+L15+L16+L18+L19+L20+L21+L22+L23+L25+L26+L27+L28+L29+L31+L32+L33+L34+L35+L36+L37</f>
        <v/>
      </c>
      <c r="M38" s="181">
        <f>M6+M7+M8+M10+M11+M12+M13+M14+M15+M16+M18+M19+M20+M21+M22+M23+M25+M26+M27+M28+M29+M31+M32+M33+M34+M35+M36+M37</f>
        <v/>
      </c>
      <c r="N38" s="216" t="n"/>
      <c r="O38" s="216" t="n"/>
    </row>
    <row r="39" ht="15" customHeight="1" s="133">
      <c r="A39" s="232" t="inlineStr">
        <is>
          <t>TOTAL OpEx (Traditional - Trad comp from Roadmap, developer tooling zero)</t>
        </is>
      </c>
      <c r="C39" s="210">
        <f>C38-('Team Roadmap'!C39*(1+$B$7))+('Team Roadmap'!N39*(1+$B$7))-(C10+C11+C12+C13+C15+C16)</f>
        <v/>
      </c>
      <c r="D39" s="210">
        <f>D38-('Team Roadmap'!D39*(1+$B$7))+('Team Roadmap'!O39*(1+$B$7))-(D10+D11+D12+D13+D15+D16)</f>
        <v/>
      </c>
      <c r="E39" s="210">
        <f>E38-('Team Roadmap'!E39*(1+$B$7))+('Team Roadmap'!P39*(1+$B$7))-(E10+E11+E12+E13+E15+E16)</f>
        <v/>
      </c>
      <c r="F39" s="210">
        <f>F38-('Team Roadmap'!F39*(1+$B$7))+('Team Roadmap'!Q39*(1+$B$7))-(F10+F11+F12+F13+F15+F16)</f>
        <v/>
      </c>
      <c r="G39" s="210">
        <f>G38-('Team Roadmap'!G39*(1+$B$7))+('Team Roadmap'!R39*(1+$B$7))-(G10+G11+G12+G13+G15+G16)</f>
        <v/>
      </c>
      <c r="H39" s="210">
        <f>H38-('Team Roadmap'!H39*(1+$B$7))+('Team Roadmap'!S39*(1+$B$7))-(H10+H11+H12+H13+H15+H16)</f>
        <v/>
      </c>
      <c r="I39" s="210">
        <f>I38-('Team Roadmap'!I39*(1+$B$7))+('Team Roadmap'!T39*(1+$B$7))-(I10+I11+I12+I13+I15+I16)</f>
        <v/>
      </c>
      <c r="J39" s="210">
        <f>J38-('Team Roadmap'!J39*(1+$B$7))+('Team Roadmap'!U39*(1+$B$7))-(J10+J11+J12+J13+J15+J16)</f>
        <v/>
      </c>
      <c r="K39" s="210">
        <f>K38-('Team Roadmap'!K39*(1+$B$7))+('Team Roadmap'!V39*(1+$B$7))-(K10+K11+K12+K13+K15+K16)</f>
        <v/>
      </c>
      <c r="L39" s="210">
        <f>L38-('Team Roadmap'!L39*(1+$B$7))+('Team Roadmap'!W39*(1+$B$7))-(L10+L11+L12+L13+L15+L16)</f>
        <v/>
      </c>
      <c r="M39" s="210">
        <f>M38-('Team Roadmap'!M39*(1+$B$7))+('Team Roadmap'!X39*(1+$B$7))-(M10+M11+M12+M13+M15+M16)</f>
        <v/>
      </c>
    </row>
    <row r="40" ht="15" customHeight="1" s="133">
      <c r="A40" s="231" t="inlineStr">
        <is>
          <t>platform BUILD SEMI-ANNUAL SAVINGS</t>
        </is>
      </c>
      <c r="C40" s="199">
        <f>C39-C38</f>
        <v/>
      </c>
      <c r="D40" s="199">
        <f>D39-D38</f>
        <v/>
      </c>
      <c r="E40" s="199">
        <f>E39-E38</f>
        <v/>
      </c>
      <c r="F40" s="199">
        <f>F39-F38</f>
        <v/>
      </c>
      <c r="G40" s="199">
        <f>G39-G38</f>
        <v/>
      </c>
      <c r="H40" s="199">
        <f>H39-H38</f>
        <v/>
      </c>
      <c r="I40" s="199">
        <f>I39-I38</f>
        <v/>
      </c>
      <c r="J40" s="199">
        <f>J39-J38</f>
        <v/>
      </c>
      <c r="K40" s="199">
        <f>K39-K38</f>
        <v/>
      </c>
      <c r="L40" s="199">
        <f>L39-L38</f>
        <v/>
      </c>
      <c r="M40" s="199">
        <f>M39-M38</f>
        <v/>
      </c>
    </row>
    <row r="42" ht="15" customHeight="1" s="133">
      <c r="A42" s="165" t="inlineStr">
        <is>
          <t>CORPORATE STRUCTURE NOTE</t>
        </is>
      </c>
      <c r="B42" s="165" t="n"/>
      <c r="C42" s="165" t="n"/>
    </row>
    <row r="43" ht="15" customHeight="1" s="133">
      <c r="A43" s="234" t="inlineStr">
        <is>
          <t>The above OpEx includes costs for operating 3 required corporate entities:</t>
        </is>
      </c>
    </row>
    <row r="44" ht="15" customHeight="1" s="133">
      <c r="A44" s="169" t="inlineStr">
        <is>
          <t xml:space="preserve"> • 4ORM Holdings Inc. (HoldCo) - IP ownership, parent company overhead</t>
        </is>
      </c>
    </row>
    <row r="45" ht="15" customHeight="1" s="133">
      <c r="A45" s="169" t="inlineStr">
        <is>
          <t xml:space="preserve"> • 4ORM Exchange Inc. (OpCo) - CIRO dealer, exchange operations, all regulatory costs</t>
        </is>
      </c>
    </row>
    <row r="46" ht="15" customHeight="1" s="133">
      <c r="A46" s="169" t="inlineStr">
        <is>
          <t xml:space="preserve"> • 4ORM Custody Inc. (CustodyCo) - Digital asset custody, SOC 2, security infrastructure</t>
        </is>
      </c>
    </row>
    <row r="47" ht="15" customHeight="1" s="133">
      <c r="A47" s="169" t="inlineStr">
        <is>
          <t xml:space="preserve"> • Regulatory/compliance, legal, audit, and insurance line items above cover all 3 entities.</t>
        </is>
      </c>
    </row>
    <row r="48" ht="15" customHeight="1" s="133">
      <c r="A48" s="169" t="inlineStr">
        <is>
          <t xml:space="preserve"> • CIRO custody framework (Feb 2026) requires custody to be legally separate from exchange.</t>
        </is>
      </c>
    </row>
  </sheetData>
  <mergeCells count="8">
    <mergeCell ref="A2:O2"/>
    <mergeCell ref="A44:C44"/>
    <mergeCell ref="A45:C45"/>
    <mergeCell ref="A46:C46"/>
    <mergeCell ref="A47:C47"/>
    <mergeCell ref="A1:O1"/>
    <mergeCell ref="A48:C48"/>
    <mergeCell ref="A43:C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C000"/>
    <outlinePr summaryBelow="1" summaryRight="1"/>
    <pageSetUpPr fitToPage="0"/>
  </sheetPr>
  <dimension ref="A1:N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38" customWidth="1" style="131" min="1" max="1"/>
    <col width="10" customWidth="1" style="131" min="2" max="13"/>
    <col width="14" customWidth="1" style="131" min="14" max="14"/>
  </cols>
  <sheetData>
    <row r="1" ht="48" customHeight="1" s="133">
      <c r="A1" s="142" t="inlineStr">
        <is>
          <t>4ORM FINANCE - 5-YEAR REVENUE MODEL | 5 STREAMS + RESERVED 6TH STREAM (placeholder)</t>
        </is>
      </c>
    </row>
    <row r="2" ht="15" customHeight="1" s="133">
      <c r="A2" s="143" t="inlineStr">
        <is>
          <t>Fee pool split model per Master Pro Forma | ALL CALCULATIONS DRIVEN BY CONTROL PANEL</t>
        </is>
      </c>
    </row>
    <row r="4" ht="15" customHeight="1" s="133">
      <c r="A4" s="150" t="inlineStr">
        <is>
          <t>CONTROL PANEL REFERENCES (for transparency)</t>
        </is>
      </c>
      <c r="B4" s="150" t="n"/>
      <c r="C4" s="150" t="n"/>
      <c r="D4" s="150" t="n"/>
      <c r="E4" s="150" t="n"/>
      <c r="F4" s="150" t="n"/>
      <c r="G4" s="150" t="n"/>
      <c r="H4" s="150" t="n"/>
      <c r="I4" s="150" t="n"/>
      <c r="J4" s="150" t="n"/>
      <c r="K4" s="150" t="n"/>
      <c r="L4" s="150" t="n"/>
      <c r="M4" s="150" t="n"/>
      <c r="N4" s="150" t="n"/>
    </row>
    <row r="5" ht="15" customHeight="1" s="133">
      <c r="A5" s="235" t="inlineStr">
        <is>
          <t>ATB Financial - Base Data</t>
        </is>
      </c>
      <c r="B5" s="236">
        <f>'Control Panel'!B49</f>
        <v/>
      </c>
      <c r="C5" s="236">
        <f>'Control Panel'!C49</f>
        <v/>
      </c>
      <c r="D5" s="236">
        <f>'Control Panel'!D49</f>
        <v/>
      </c>
      <c r="E5" s="237">
        <f>'Control Panel'!E49</f>
        <v/>
      </c>
    </row>
    <row r="6" ht="15" customHeight="1" s="133">
      <c r="A6" s="235" t="inlineStr">
        <is>
          <t>Tokenization Rates</t>
        </is>
      </c>
      <c r="B6" s="238">
        <f>'Control Panel'!B27</f>
        <v/>
      </c>
      <c r="C6" s="238">
        <f>'Control Panel'!B28</f>
        <v/>
      </c>
    </row>
    <row r="7" ht="15" customHeight="1" s="133">
      <c r="A7" s="235" t="inlineStr">
        <is>
          <t>Deposit Turnover</t>
        </is>
      </c>
      <c r="B7" s="239">
        <f>'Control Panel'!B29</f>
        <v/>
      </c>
    </row>
    <row r="8" ht="15" customHeight="1" s="133">
      <c r="A8" s="235" t="inlineStr">
        <is>
          <t>Annual Growth</t>
        </is>
      </c>
      <c r="B8" s="238">
        <f>'Control Panel'!B30</f>
        <v/>
      </c>
    </row>
    <row r="10" ht="15" customHeight="1" s="133">
      <c r="A10" s="314" t="inlineStr">
        <is>
          <t>TOKENIZATION PARAMETERS &amp; FEE STRUCTURE</t>
        </is>
      </c>
      <c r="B10" s="145" t="n"/>
      <c r="C10" s="145" t="n"/>
      <c r="D10" s="145" t="n"/>
      <c r="E10" s="145" t="n"/>
      <c r="F10" s="145" t="n"/>
      <c r="G10" s="145" t="n"/>
      <c r="H10" s="145" t="n"/>
      <c r="I10" s="145" t="n"/>
      <c r="J10" s="145" t="n"/>
      <c r="K10" s="145" t="n"/>
      <c r="L10" s="145" t="n"/>
      <c r="M10" s="145" t="n"/>
      <c r="N10" s="145" t="n"/>
    </row>
    <row r="11" ht="23.25" customHeight="1" s="133">
      <c r="A11" s="144" t="inlineStr">
        <is>
          <t>Stream</t>
        </is>
      </c>
      <c r="B11" s="144" t="inlineStr">
        <is>
          <t>Fee Rate (CP)</t>
        </is>
      </c>
      <c r="C11" s="144" t="inlineStr">
        <is>
          <t>4ORM Split (CP)</t>
        </is>
      </c>
      <c r="D11" s="144" t="inlineStr">
        <is>
          <t>Description</t>
        </is>
      </c>
    </row>
    <row r="12" ht="34.5" customHeight="1" s="133">
      <c r="A12" s="240" t="inlineStr">
        <is>
          <t>Settlement</t>
        </is>
      </c>
      <c r="B12" s="241">
        <f>'Control Panel'!B41</f>
        <v/>
      </c>
      <c r="C12" s="242">
        <f>'Control Panel'!C41</f>
        <v/>
      </c>
      <c r="D12" s="243" t="inlineStr">
        <is>
          <t>1.5 bps of settlement volume</t>
        </is>
      </c>
    </row>
    <row r="13" ht="34.5" customHeight="1" s="133">
      <c r="A13" s="219" t="inlineStr">
        <is>
          <t>Issuance</t>
        </is>
      </c>
      <c r="B13" s="244">
        <f>'Control Panel'!B42</f>
        <v/>
      </c>
      <c r="C13" s="245">
        <f>'Control Panel'!C42</f>
        <v/>
      </c>
      <c r="D13" s="153" t="inlineStr">
        <is>
          <t>0.5% of issuance volume</t>
        </is>
      </c>
    </row>
    <row r="14" ht="34.5" customHeight="1" s="133">
      <c r="A14" s="240" t="inlineStr">
        <is>
          <t>Trading</t>
        </is>
      </c>
      <c r="B14" s="241">
        <f>'Control Panel'!B43</f>
        <v/>
      </c>
      <c r="C14" s="242">
        <f>'Control Panel'!C43</f>
        <v/>
      </c>
      <c r="D14" s="243" t="inlineStr">
        <is>
          <t>5 bps of trading volume</t>
        </is>
      </c>
    </row>
    <row r="15" ht="34.5" customHeight="1" s="133">
      <c r="A15" s="219" t="inlineStr">
        <is>
          <t>Custody</t>
        </is>
      </c>
      <c r="B15" s="244">
        <f>'Control Panel'!B44</f>
        <v/>
      </c>
      <c r="C15" s="245">
        <f>'Control Panel'!C44</f>
        <v/>
      </c>
      <c r="D15" s="153" t="inlineStr">
        <is>
          <t>30 bps of custody AUA</t>
        </is>
      </c>
    </row>
    <row r="16" ht="34.5" customHeight="1" s="133">
      <c r="A16" s="240" t="inlineStr">
        <is>
          <t>SaaS + APIs</t>
        </is>
      </c>
      <c r="B16" s="246">
        <f>'Control Panel'!B45</f>
        <v/>
      </c>
      <c r="C16" s="242">
        <f>'Control Panel'!C45</f>
        <v/>
      </c>
      <c r="D16" s="243" t="inlineStr">
        <is>
          <t>Annual per enterprise client</t>
        </is>
      </c>
    </row>
    <row r="18" ht="15" customHeight="1" s="133">
      <c r="A18" s="314" t="inlineStr">
        <is>
          <t>5-YEAR REVENUE BY FINANCIAL INSTITUTION (SEMI-ANNUAL)</t>
        </is>
      </c>
      <c r="B18" s="157" t="n"/>
      <c r="C18" s="157" t="n"/>
      <c r="D18" s="157" t="n"/>
      <c r="E18" s="157" t="n"/>
      <c r="F18" s="157" t="n"/>
      <c r="G18" s="157" t="n"/>
      <c r="H18" s="157" t="n"/>
      <c r="I18" s="157" t="n"/>
      <c r="J18" s="157" t="n"/>
      <c r="K18" s="157" t="n"/>
      <c r="L18" s="157" t="n"/>
      <c r="M18" s="157" t="n"/>
      <c r="N18" s="157" t="n"/>
    </row>
    <row r="19" ht="15" customHeight="1" s="133">
      <c r="A19" s="144" t="inlineStr">
        <is>
          <t>Revenue Source</t>
        </is>
      </c>
      <c r="B19" s="144" t="inlineStr">
        <is>
          <t>Onboard</t>
        </is>
      </c>
      <c r="C19" s="144" t="inlineStr">
        <is>
          <t>H2 2026</t>
        </is>
      </c>
      <c r="D19" s="144" t="inlineStr">
        <is>
          <t>H1 2027</t>
        </is>
      </c>
      <c r="E19" s="144" t="inlineStr">
        <is>
          <t>H2 2027</t>
        </is>
      </c>
      <c r="F19" s="144" t="inlineStr">
        <is>
          <t>H1 2028</t>
        </is>
      </c>
      <c r="G19" s="144" t="inlineStr">
        <is>
          <t>H2 2028</t>
        </is>
      </c>
      <c r="H19" s="144" t="inlineStr">
        <is>
          <t>H1 2029</t>
        </is>
      </c>
      <c r="I19" s="144" t="inlineStr">
        <is>
          <t>H2 2029</t>
        </is>
      </c>
      <c r="J19" s="144" t="inlineStr">
        <is>
          <t>H1 2030</t>
        </is>
      </c>
      <c r="K19" s="144" t="inlineStr">
        <is>
          <t>H2 2030</t>
        </is>
      </c>
      <c r="L19" s="144" t="inlineStr">
        <is>
          <t>H1 2031</t>
        </is>
      </c>
      <c r="M19" s="144" t="inlineStr">
        <is>
          <t>H2 2031</t>
        </is>
      </c>
      <c r="N19" s="144" t="inlineStr">
        <is>
          <t>5-Year Total</t>
        </is>
      </c>
    </row>
    <row r="20" ht="15" customHeight="1" s="133">
      <c r="A20" s="315" t="inlineStr">
        <is>
          <t>ATB FINANCIAL ($43.3B deposits)</t>
        </is>
      </c>
      <c r="B20" s="150" t="n"/>
      <c r="C20" s="150" t="n"/>
      <c r="D20" s="150" t="n"/>
      <c r="E20" s="150" t="n"/>
      <c r="F20" s="150" t="n"/>
      <c r="G20" s="150" t="n"/>
      <c r="H20" s="150" t="n"/>
      <c r="I20" s="150" t="n"/>
      <c r="J20" s="150" t="n"/>
      <c r="K20" s="150" t="n"/>
      <c r="L20" s="150" t="n"/>
      <c r="M20" s="150" t="n"/>
      <c r="N20" s="150" t="n"/>
    </row>
    <row r="21" ht="15" customHeight="1" s="133">
      <c r="A21" s="177" t="inlineStr">
        <is>
          <t xml:space="preserve"> Settlement (1.5 bps, 30%)</t>
        </is>
      </c>
      <c r="B21" s="176" t="inlineStr">
        <is>
          <t>H1 2028</t>
        </is>
      </c>
      <c r="C21" s="247">
        <f>'Control Panel'!$B$14*'Control Panel'!$B$6*'Control Panel'!B49*1000000*'Control Panel'!$B$29*IF('Control Panel'!$B$100=1,'Control Panel'!B$98,'Control Panel'!$B$27)*'Control Panel'!$B$41*'Control Panel'!$C$41*'Control Panel'!B$56*(1+IF('Control Panel'!$D$90=1,'Control Panel'!$C$90,'Control Panel'!$B$30))^MAX(0,(0-'Control Panel'!$F$49)/2)*0.5</f>
        <v/>
      </c>
      <c r="D21" s="247">
        <f>'Control Panel'!$B$14*'Control Panel'!$B$6*'Control Panel'!B49*1000000*'Control Panel'!$B$29*IF('Control Panel'!$B$100=1,'Control Panel'!C$98,'Control Panel'!$B$27)*'Control Panel'!$B$41*'Control Panel'!$C$41*'Control Panel'!C$56*(1+IF('Control Panel'!$D$90=1,'Control Panel'!$C$90,'Control Panel'!$B$30))^MAX(0,(1-'Control Panel'!$F$49)/2)*0.5</f>
        <v/>
      </c>
      <c r="E21" s="247">
        <f>'Control Panel'!$B$14*'Control Panel'!$B$6*'Control Panel'!B49*1000000*'Control Panel'!$B$29*IF('Control Panel'!$B$100=1,'Control Panel'!D$98,'Control Panel'!$B$27)*'Control Panel'!$B$41*'Control Panel'!$C$41*'Control Panel'!D$56*(1+IF('Control Panel'!$D$90=1,'Control Panel'!$C$90,'Control Panel'!$B$30))^MAX(0,(2-'Control Panel'!$F$49)/2)*0.5</f>
        <v/>
      </c>
      <c r="F21" s="247">
        <f>'Control Panel'!$B$14*'Control Panel'!$B$6*'Control Panel'!B49*1000000*'Control Panel'!$B$29*IF('Control Panel'!$B$100=1,'Control Panel'!E$98,'Control Panel'!$B$27)*'Control Panel'!$B$41*'Control Panel'!$C$41*'Control Panel'!E$56*(1+IF('Control Panel'!$D$90=1,'Control Panel'!$C$90,'Control Panel'!$B$30))^MAX(0,(3-'Control Panel'!$F$49)/2)*0.5</f>
        <v/>
      </c>
      <c r="G21" s="247">
        <f>'Control Panel'!$B$14*'Control Panel'!$B$6*'Control Panel'!B49*1000000*'Control Panel'!$B$29*IF('Control Panel'!$B$100=1,'Control Panel'!F$98,'Control Panel'!$B$27)*'Control Panel'!$B$41*'Control Panel'!$C$41*'Control Panel'!F$56*(1+IF('Control Panel'!$D$90=1,'Control Panel'!$C$90,'Control Panel'!$B$30))^MAX(0,(4-'Control Panel'!$F$49)/2)*0.5</f>
        <v/>
      </c>
      <c r="H21" s="247">
        <f>'Control Panel'!$B$14*'Control Panel'!$B$6*'Control Panel'!B49*1000000*'Control Panel'!$B$29*IF('Control Panel'!$B$100=1,'Control Panel'!G$98,'Control Panel'!$B$27)*'Control Panel'!$B$41*'Control Panel'!$C$41*'Control Panel'!G$56*(1+IF('Control Panel'!$D$90=1,'Control Panel'!$C$90,'Control Panel'!$B$30))^MAX(0,(5-'Control Panel'!$F$49)/2)*0.5</f>
        <v/>
      </c>
      <c r="I21" s="247">
        <f>'Control Panel'!$B$14*'Control Panel'!$B$6*'Control Panel'!B49*1000000*'Control Panel'!$B$29*IF('Control Panel'!$B$100=1,'Control Panel'!H$98,'Control Panel'!$B$27)*'Control Panel'!$B$41*'Control Panel'!$C$41*'Control Panel'!H$56*(1+IF('Control Panel'!$D$90=1,'Control Panel'!$C$90,'Control Panel'!$B$30))^MAX(0,(6-'Control Panel'!$F$49)/2)*0.5</f>
        <v/>
      </c>
      <c r="J21" s="247">
        <f>'Control Panel'!$B$14*'Control Panel'!$B$6*'Control Panel'!B49*1000000*'Control Panel'!$B$29*IF('Control Panel'!$B$100=1,'Control Panel'!I$98,'Control Panel'!$B$27)*'Control Panel'!$B$41*'Control Panel'!$C$41*'Control Panel'!I$56*(1+IF('Control Panel'!$D$90=1,'Control Panel'!$C$90,'Control Panel'!$B$30))^MAX(0,(7-'Control Panel'!$F$49)/2)*0.5</f>
        <v/>
      </c>
      <c r="K21" s="247">
        <f>'Control Panel'!$B$14*'Control Panel'!$B$6*'Control Panel'!B49*1000000*'Control Panel'!$B$29*IF('Control Panel'!$B$100=1,'Control Panel'!J$98,'Control Panel'!$B$27)*'Control Panel'!$B$41*'Control Panel'!$C$41*'Control Panel'!J$56*(1+IF('Control Panel'!$D$90=1,'Control Panel'!$C$90,'Control Panel'!$B$30))^MAX(0,(8-'Control Panel'!$F$49)/2)*0.5</f>
        <v/>
      </c>
      <c r="L21" s="247">
        <f>'Control Panel'!$B$14*'Control Panel'!$B$6*'Control Panel'!B49*1000000*'Control Panel'!$B$29*IF('Control Panel'!$B$100=1,'Control Panel'!K$98,'Control Panel'!$B$27)*'Control Panel'!$B$41*'Control Panel'!$C$41*'Control Panel'!K$56*(1+IF('Control Panel'!$D$90=1,'Control Panel'!$C$90,'Control Panel'!$B$30))^MAX(0,(9-'Control Panel'!$F$49)/2)*0.5</f>
        <v/>
      </c>
      <c r="M21" s="247">
        <f>'Control Panel'!$B$14*'Control Panel'!$B$6*'Control Panel'!B49*1000000*'Control Panel'!$B$29*IF('Control Panel'!$B$100=1,'Control Panel'!L$98,'Control Panel'!$B$27)*'Control Panel'!$B$41*'Control Panel'!$C$41*'Control Panel'!L$56*(1+IF('Control Panel'!$D$90=1,'Control Panel'!$C$90,'Control Panel'!$B$30))^MAX(0,(10-'Control Panel'!$F$49)/2)*0.5</f>
        <v/>
      </c>
      <c r="N21" s="247">
        <f>SUM(C21:M21)</f>
        <v/>
      </c>
    </row>
    <row r="22" ht="15" customHeight="1" s="133">
      <c r="A22" s="177" t="inlineStr">
        <is>
          <t xml:space="preserve"> Issuance (0.5%, 60%)</t>
        </is>
      </c>
      <c r="B22" s="176" t="inlineStr">
        <is>
          <t>H1 2028</t>
        </is>
      </c>
      <c r="C22" s="247">
        <f>'Control Panel'!$B$14*'Control Panel'!$B$7*'Control Panel'!C49*1000000*IF('Control Panel'!$B$100=1,'Control Panel'!B$99,'Control Panel'!$B$28)*'Control Panel'!$B$42*'Control Panel'!$C$42*'Control Panel'!B$56*(1+IF('Control Panel'!$D$90=1,'Control Panel'!$C$90,'Control Panel'!$B$30))^MAX(0,(0-'Control Panel'!$F$49)/2)*0.5</f>
        <v/>
      </c>
      <c r="D22" s="247">
        <f>'Control Panel'!$B$14*'Control Panel'!$B$7*'Control Panel'!C49*1000000*IF('Control Panel'!$B$100=1,'Control Panel'!C$99,'Control Panel'!$B$28)*'Control Panel'!$B$42*'Control Panel'!$C$42*'Control Panel'!C$56*(1+IF('Control Panel'!$D$90=1,'Control Panel'!$C$90,'Control Panel'!$B$30))^MAX(0,(1-'Control Panel'!$F$49)/2)*0.5</f>
        <v/>
      </c>
      <c r="E22" s="247">
        <f>'Control Panel'!$B$14*'Control Panel'!$B$7*'Control Panel'!C49*1000000*IF('Control Panel'!$B$100=1,'Control Panel'!D$99,'Control Panel'!$B$28)*'Control Panel'!$B$42*'Control Panel'!$C$42*'Control Panel'!D$56*(1+IF('Control Panel'!$D$90=1,'Control Panel'!$C$90,'Control Panel'!$B$30))^MAX(0,(2-'Control Panel'!$F$49)/2)*0.5</f>
        <v/>
      </c>
      <c r="F22" s="247">
        <f>'Control Panel'!$B$14*'Control Panel'!$B$7*'Control Panel'!C49*1000000*IF('Control Panel'!$B$100=1,'Control Panel'!E$99,'Control Panel'!$B$28)*'Control Panel'!$B$42*'Control Panel'!$C$42*'Control Panel'!E$56*(1+IF('Control Panel'!$D$90=1,'Control Panel'!$C$90,'Control Panel'!$B$30))^MAX(0,(3-'Control Panel'!$F$49)/2)*0.5</f>
        <v/>
      </c>
      <c r="G22" s="247">
        <f>'Control Panel'!$B$14*'Control Panel'!$B$7*'Control Panel'!C49*1000000*IF('Control Panel'!$B$100=1,'Control Panel'!F$99,'Control Panel'!$B$28)*'Control Panel'!$B$42*'Control Panel'!$C$42*'Control Panel'!F$56*(1+IF('Control Panel'!$D$90=1,'Control Panel'!$C$90,'Control Panel'!$B$30))^MAX(0,(4-'Control Panel'!$F$49)/2)*0.5</f>
        <v/>
      </c>
      <c r="H22" s="247">
        <f>'Control Panel'!$B$14*'Control Panel'!$B$7*'Control Panel'!C49*1000000*IF('Control Panel'!$B$100=1,'Control Panel'!G$99,'Control Panel'!$B$28)*'Control Panel'!$B$42*'Control Panel'!$C$42*'Control Panel'!G$56*(1+IF('Control Panel'!$D$90=1,'Control Panel'!$C$90,'Control Panel'!$B$30))^MAX(0,(5-'Control Panel'!$F$49)/2)*0.5</f>
        <v/>
      </c>
      <c r="I22" s="247">
        <f>'Control Panel'!$B$14*'Control Panel'!$B$7*'Control Panel'!C49*1000000*IF('Control Panel'!$B$100=1,'Control Panel'!H$99,'Control Panel'!$B$28)*'Control Panel'!$B$42*'Control Panel'!$C$42*'Control Panel'!H$56*(1+IF('Control Panel'!$D$90=1,'Control Panel'!$C$90,'Control Panel'!$B$30))^MAX(0,(6-'Control Panel'!$F$49)/2)*0.5</f>
        <v/>
      </c>
      <c r="J22" s="247">
        <f>'Control Panel'!$B$14*'Control Panel'!$B$7*'Control Panel'!C49*1000000*IF('Control Panel'!$B$100=1,'Control Panel'!I$99,'Control Panel'!$B$28)*'Control Panel'!$B$42*'Control Panel'!$C$42*'Control Panel'!I$56*(1+IF('Control Panel'!$D$90=1,'Control Panel'!$C$90,'Control Panel'!$B$30))^MAX(0,(7-'Control Panel'!$F$49)/2)*0.5</f>
        <v/>
      </c>
      <c r="K22" s="247">
        <f>'Control Panel'!$B$14*'Control Panel'!$B$7*'Control Panel'!C49*1000000*IF('Control Panel'!$B$100=1,'Control Panel'!J$99,'Control Panel'!$B$28)*'Control Panel'!$B$42*'Control Panel'!$C$42*'Control Panel'!J$56*(1+IF('Control Panel'!$D$90=1,'Control Panel'!$C$90,'Control Panel'!$B$30))^MAX(0,(8-'Control Panel'!$F$49)/2)*0.5</f>
        <v/>
      </c>
      <c r="L22" s="247">
        <f>'Control Panel'!$B$14*'Control Panel'!$B$7*'Control Panel'!C49*1000000*IF('Control Panel'!$B$100=1,'Control Panel'!K$99,'Control Panel'!$B$28)*'Control Panel'!$B$42*'Control Panel'!$C$42*'Control Panel'!K$56*(1+IF('Control Panel'!$D$90=1,'Control Panel'!$C$90,'Control Panel'!$B$30))^MAX(0,(9-'Control Panel'!$F$49)/2)*0.5</f>
        <v/>
      </c>
      <c r="M22" s="247">
        <f>'Control Panel'!$B$14*'Control Panel'!$B$7*'Control Panel'!C49*1000000*IF('Control Panel'!$B$100=1,'Control Panel'!L$99,'Control Panel'!$B$28)*'Control Panel'!$B$42*'Control Panel'!$C$42*'Control Panel'!L$56*(1+IF('Control Panel'!$D$90=1,'Control Panel'!$C$90,'Control Panel'!$B$30))^MAX(0,(10-'Control Panel'!$F$49)/2)*0.5</f>
        <v/>
      </c>
      <c r="N22" s="247">
        <f>SUM(C22:M22)</f>
        <v/>
      </c>
    </row>
    <row r="23" ht="15" customHeight="1" s="133">
      <c r="A23" s="177" t="inlineStr">
        <is>
          <t xml:space="preserve"> Trading (5 bps, 100%)</t>
        </is>
      </c>
      <c r="B23" s="176" t="inlineStr">
        <is>
          <t>H1 2028</t>
        </is>
      </c>
      <c r="C23" s="247">
        <f>'Control Panel'!$B$14*'Control Panel'!$B$8*'Control Panel'!C49*1000000*IF('Control Panel'!$B$100=1,'Control Panel'!B$99,'Control Panel'!$B$28)*'Control Panel'!$B$62*'Control Panel'!$B$43*'Control Panel'!$C$43*'Control Panel'!B$56*(1+IF('Control Panel'!$D$90=1,'Control Panel'!$C$90,'Control Panel'!$B$30))^MAX(0,(0-'Control Panel'!$F$49)/2)*0.5</f>
        <v/>
      </c>
      <c r="D23" s="247">
        <f>'Control Panel'!$B$14*'Control Panel'!$B$8*'Control Panel'!C49*1000000*IF('Control Panel'!$B$100=1,'Control Panel'!C$99,'Control Panel'!$B$28)*'Control Panel'!$B$62*'Control Panel'!$B$43*'Control Panel'!$C$43*'Control Panel'!C$56*(1+IF('Control Panel'!$D$90=1,'Control Panel'!$C$90,'Control Panel'!$B$30))^MAX(0,(1-'Control Panel'!$F$49)/2)*0.5</f>
        <v/>
      </c>
      <c r="E23" s="247">
        <f>'Control Panel'!$B$14*'Control Panel'!$B$8*'Control Panel'!C49*1000000*IF('Control Panel'!$B$100=1,'Control Panel'!D$99,'Control Panel'!$B$28)*'Control Panel'!$B$62*'Control Panel'!$B$43*'Control Panel'!$C$43*'Control Panel'!D$56*(1+IF('Control Panel'!$D$90=1,'Control Panel'!$C$90,'Control Panel'!$B$30))^MAX(0,(2-'Control Panel'!$F$49)/2)*0.5</f>
        <v/>
      </c>
      <c r="F23" s="247">
        <f>'Control Panel'!$B$14*'Control Panel'!$B$8*'Control Panel'!C49*1000000*IF('Control Panel'!$B$100=1,'Control Panel'!E$99,'Control Panel'!$B$28)*'Control Panel'!$B$62*'Control Panel'!$B$43*'Control Panel'!$C$43*'Control Panel'!E$56*(1+IF('Control Panel'!$D$90=1,'Control Panel'!$C$90,'Control Panel'!$B$30))^MAX(0,(3-'Control Panel'!$F$49)/2)*0.5</f>
        <v/>
      </c>
      <c r="G23" s="247">
        <f>'Control Panel'!$B$14*'Control Panel'!$B$8*'Control Panel'!C49*1000000*IF('Control Panel'!$B$100=1,'Control Panel'!F$99,'Control Panel'!$B$28)*'Control Panel'!$B$62*'Control Panel'!$B$43*'Control Panel'!$C$43*'Control Panel'!F$56*(1+IF('Control Panel'!$D$90=1,'Control Panel'!$C$90,'Control Panel'!$B$30))^MAX(0,(4-'Control Panel'!$F$49)/2)*0.5</f>
        <v/>
      </c>
      <c r="H23" s="247">
        <f>'Control Panel'!$B$14*'Control Panel'!$B$8*'Control Panel'!C49*1000000*IF('Control Panel'!$B$100=1,'Control Panel'!G$99,'Control Panel'!$B$28)*'Control Panel'!$B$62*'Control Panel'!$B$43*'Control Panel'!$C$43*'Control Panel'!G$56*(1+IF('Control Panel'!$D$90=1,'Control Panel'!$C$90,'Control Panel'!$B$30))^MAX(0,(5-'Control Panel'!$F$49)/2)*0.5</f>
        <v/>
      </c>
      <c r="I23" s="247">
        <f>'Control Panel'!$B$14*'Control Panel'!$B$8*'Control Panel'!C49*1000000*IF('Control Panel'!$B$100=1,'Control Panel'!H$99,'Control Panel'!$B$28)*'Control Panel'!$B$62*'Control Panel'!$B$43*'Control Panel'!$C$43*'Control Panel'!H$56*(1+IF('Control Panel'!$D$90=1,'Control Panel'!$C$90,'Control Panel'!$B$30))^MAX(0,(6-'Control Panel'!$F$49)/2)*0.5</f>
        <v/>
      </c>
      <c r="J23" s="247">
        <f>'Control Panel'!$B$14*'Control Panel'!$B$8*'Control Panel'!C49*1000000*IF('Control Panel'!$B$100=1,'Control Panel'!I$99,'Control Panel'!$B$28)*'Control Panel'!$B$62*'Control Panel'!$B$43*'Control Panel'!$C$43*'Control Panel'!I$56*(1+IF('Control Panel'!$D$90=1,'Control Panel'!$C$90,'Control Panel'!$B$30))^MAX(0,(7-'Control Panel'!$F$49)/2)*0.5</f>
        <v/>
      </c>
      <c r="K23" s="247">
        <f>'Control Panel'!$B$14*'Control Panel'!$B$8*'Control Panel'!C49*1000000*IF('Control Panel'!$B$100=1,'Control Panel'!J$99,'Control Panel'!$B$28)*'Control Panel'!$B$62*'Control Panel'!$B$43*'Control Panel'!$C$43*'Control Panel'!J$56*(1+IF('Control Panel'!$D$90=1,'Control Panel'!$C$90,'Control Panel'!$B$30))^MAX(0,(8-'Control Panel'!$F$49)/2)*0.5</f>
        <v/>
      </c>
      <c r="L23" s="247">
        <f>'Control Panel'!$B$14*'Control Panel'!$B$8*'Control Panel'!C49*1000000*IF('Control Panel'!$B$100=1,'Control Panel'!K$99,'Control Panel'!$B$28)*'Control Panel'!$B$62*'Control Panel'!$B$43*'Control Panel'!$C$43*'Control Panel'!K$56*(1+IF('Control Panel'!$D$90=1,'Control Panel'!$C$90,'Control Panel'!$B$30))^MAX(0,(9-'Control Panel'!$F$49)/2)*0.5</f>
        <v/>
      </c>
      <c r="M23" s="247">
        <f>'Control Panel'!$B$14*'Control Panel'!$B$8*'Control Panel'!C49*1000000*IF('Control Panel'!$B$100=1,'Control Panel'!L$99,'Control Panel'!$B$28)*'Control Panel'!$B$62*'Control Panel'!$B$43*'Control Panel'!$C$43*'Control Panel'!L$56*(1+IF('Control Panel'!$D$90=1,'Control Panel'!$C$90,'Control Panel'!$B$30))^MAX(0,(10-'Control Panel'!$F$49)/2)*0.5</f>
        <v/>
      </c>
      <c r="N23" s="247">
        <f>SUM(C23:M23)</f>
        <v/>
      </c>
    </row>
    <row r="24" ht="15" customHeight="1" s="133">
      <c r="A24" s="177" t="inlineStr">
        <is>
          <t xml:space="preserve"> Custody (30 bps, 40%)</t>
        </is>
      </c>
      <c r="B24" s="176" t="inlineStr">
        <is>
          <t>H1 2028</t>
        </is>
      </c>
      <c r="C24" s="247">
        <f>'Control Panel'!$B$14*'Control Panel'!$B$9*'Control Panel'!D49*1000000*IF('Control Panel'!$B$100=1,'Control Panel'!B$99,'Control Panel'!$B$28)*'Control Panel'!$B$44*'Control Panel'!$C$44*'Control Panel'!B$56*(1+IF('Control Panel'!$D$90=1,'Control Panel'!$C$90,'Control Panel'!$B$30))^MAX(0,(0-'Control Panel'!$F$49)/2)*0.5</f>
        <v/>
      </c>
      <c r="D24" s="247">
        <f>'Control Panel'!$B$14*'Control Panel'!$B$9*'Control Panel'!D49*1000000*IF('Control Panel'!$B$100=1,'Control Panel'!C$99,'Control Panel'!$B$28)*'Control Panel'!$B$44*'Control Panel'!$C$44*'Control Panel'!C$56*(1+IF('Control Panel'!$D$90=1,'Control Panel'!$C$90,'Control Panel'!$B$30))^MAX(0,(1-'Control Panel'!$F$49)/2)*0.5</f>
        <v/>
      </c>
      <c r="E24" s="247">
        <f>'Control Panel'!$B$14*'Control Panel'!$B$9*'Control Panel'!D49*1000000*IF('Control Panel'!$B$100=1,'Control Panel'!D$99,'Control Panel'!$B$28)*'Control Panel'!$B$44*'Control Panel'!$C$44*'Control Panel'!D$56*(1+IF('Control Panel'!$D$90=1,'Control Panel'!$C$90,'Control Panel'!$B$30))^MAX(0,(2-'Control Panel'!$F$49)/2)*0.5</f>
        <v/>
      </c>
      <c r="F24" s="247">
        <f>'Control Panel'!$B$14*'Control Panel'!$B$9*'Control Panel'!D49*1000000*IF('Control Panel'!$B$100=1,'Control Panel'!E$99,'Control Panel'!$B$28)*'Control Panel'!$B$44*'Control Panel'!$C$44*'Control Panel'!E$56*(1+IF('Control Panel'!$D$90=1,'Control Panel'!$C$90,'Control Panel'!$B$30))^MAX(0,(3-'Control Panel'!$F$49)/2)*0.5</f>
        <v/>
      </c>
      <c r="G24" s="247">
        <f>'Control Panel'!$B$14*'Control Panel'!$B$9*'Control Panel'!D49*1000000*IF('Control Panel'!$B$100=1,'Control Panel'!F$99,'Control Panel'!$B$28)*'Control Panel'!$B$44*'Control Panel'!$C$44*'Control Panel'!F$56*(1+IF('Control Panel'!$D$90=1,'Control Panel'!$C$90,'Control Panel'!$B$30))^MAX(0,(4-'Control Panel'!$F$49)/2)*0.5</f>
        <v/>
      </c>
      <c r="H24" s="247">
        <f>'Control Panel'!$B$14*'Control Panel'!$B$9*'Control Panel'!D49*1000000*IF('Control Panel'!$B$100=1,'Control Panel'!G$99,'Control Panel'!$B$28)*'Control Panel'!$B$44*'Control Panel'!$C$44*'Control Panel'!G$56*(1+IF('Control Panel'!$D$90=1,'Control Panel'!$C$90,'Control Panel'!$B$30))^MAX(0,(5-'Control Panel'!$F$49)/2)*0.5</f>
        <v/>
      </c>
      <c r="I24" s="247">
        <f>'Control Panel'!$B$14*'Control Panel'!$B$9*'Control Panel'!D49*1000000*IF('Control Panel'!$B$100=1,'Control Panel'!H$99,'Control Panel'!$B$28)*'Control Panel'!$B$44*'Control Panel'!$C$44*'Control Panel'!H$56*(1+IF('Control Panel'!$D$90=1,'Control Panel'!$C$90,'Control Panel'!$B$30))^MAX(0,(6-'Control Panel'!$F$49)/2)*0.5</f>
        <v/>
      </c>
      <c r="J24" s="247">
        <f>'Control Panel'!$B$14*'Control Panel'!$B$9*'Control Panel'!D49*1000000*IF('Control Panel'!$B$100=1,'Control Panel'!I$99,'Control Panel'!$B$28)*'Control Panel'!$B$44*'Control Panel'!$C$44*'Control Panel'!I$56*(1+IF('Control Panel'!$D$90=1,'Control Panel'!$C$90,'Control Panel'!$B$30))^MAX(0,(7-'Control Panel'!$F$49)/2)*0.5</f>
        <v/>
      </c>
      <c r="K24" s="247">
        <f>'Control Panel'!$B$14*'Control Panel'!$B$9*'Control Panel'!D49*1000000*IF('Control Panel'!$B$100=1,'Control Panel'!J$99,'Control Panel'!$B$28)*'Control Panel'!$B$44*'Control Panel'!$C$44*'Control Panel'!J$56*(1+IF('Control Panel'!$D$90=1,'Control Panel'!$C$90,'Control Panel'!$B$30))^MAX(0,(8-'Control Panel'!$F$49)/2)*0.5</f>
        <v/>
      </c>
      <c r="L24" s="247">
        <f>'Control Panel'!$B$14*'Control Panel'!$B$9*'Control Panel'!D49*1000000*IF('Control Panel'!$B$100=1,'Control Panel'!K$99,'Control Panel'!$B$28)*'Control Panel'!$B$44*'Control Panel'!$C$44*'Control Panel'!K$56*(1+IF('Control Panel'!$D$90=1,'Control Panel'!$C$90,'Control Panel'!$B$30))^MAX(0,(9-'Control Panel'!$F$49)/2)*0.5</f>
        <v/>
      </c>
      <c r="M24" s="247">
        <f>'Control Panel'!$B$14*'Control Panel'!$B$9*'Control Panel'!D49*1000000*IF('Control Panel'!$B$100=1,'Control Panel'!L$99,'Control Panel'!$B$28)*'Control Panel'!$B$44*'Control Panel'!$C$44*'Control Panel'!L$56*(1+IF('Control Panel'!$D$90=1,'Control Panel'!$C$90,'Control Panel'!$B$30))^MAX(0,(10-'Control Panel'!$F$49)/2)*0.5</f>
        <v/>
      </c>
      <c r="N24" s="247">
        <f>SUM(C24:M24)</f>
        <v/>
      </c>
    </row>
    <row r="25" ht="15" customHeight="1" s="133">
      <c r="A25" s="177" t="inlineStr">
        <is>
          <t xml:space="preserve"> SaaS + APIs (80%)</t>
        </is>
      </c>
      <c r="B25" s="176" t="inlineStr">
        <is>
          <t>H1 2028</t>
        </is>
      </c>
      <c r="C25" s="247">
        <f>'Control Panel'!$B$14*'Control Panel'!$B$10*'Control Panel'!E49*'Control Panel'!$B$45*'Control Panel'!$C$45*'Control Panel'!B$56*0.5</f>
        <v/>
      </c>
      <c r="D25" s="247">
        <f>'Control Panel'!$B$14*'Control Panel'!$B$10*'Control Panel'!E49*'Control Panel'!$B$45*'Control Panel'!$C$45*'Control Panel'!C$56*0.5</f>
        <v/>
      </c>
      <c r="E25" s="247">
        <f>'Control Panel'!$B$14*'Control Panel'!$B$10*'Control Panel'!E49*'Control Panel'!$B$45*'Control Panel'!$C$45*'Control Panel'!D$56*0.5</f>
        <v/>
      </c>
      <c r="F25" s="247">
        <f>'Control Panel'!$B$14*'Control Panel'!$B$10*'Control Panel'!E49*'Control Panel'!$B$45*'Control Panel'!$C$45*'Control Panel'!E$56*0.5</f>
        <v/>
      </c>
      <c r="G25" s="247">
        <f>'Control Panel'!$B$14*'Control Panel'!$B$10*'Control Panel'!E49*'Control Panel'!$B$45*'Control Panel'!$C$45*'Control Panel'!F$56*0.5</f>
        <v/>
      </c>
      <c r="H25" s="247">
        <f>'Control Panel'!$B$14*'Control Panel'!$B$10*'Control Panel'!E49*'Control Panel'!$B$45*'Control Panel'!$C$45*'Control Panel'!G$56*0.5</f>
        <v/>
      </c>
      <c r="I25" s="247">
        <f>'Control Panel'!$B$14*'Control Panel'!$B$10*'Control Panel'!E49*'Control Panel'!$B$45*'Control Panel'!$C$45*'Control Panel'!H$56*0.5</f>
        <v/>
      </c>
      <c r="J25" s="247">
        <f>'Control Panel'!$B$14*'Control Panel'!$B$10*'Control Panel'!E49*'Control Panel'!$B$45*'Control Panel'!$C$45*'Control Panel'!I$56*0.5</f>
        <v/>
      </c>
      <c r="K25" s="247">
        <f>'Control Panel'!$B$14*'Control Panel'!$B$10*'Control Panel'!E49*'Control Panel'!$B$45*'Control Panel'!$C$45*'Control Panel'!J$56*0.5</f>
        <v/>
      </c>
      <c r="L25" s="247">
        <f>'Control Panel'!$B$14*'Control Panel'!$B$10*'Control Panel'!E49*'Control Panel'!$B$45*'Control Panel'!$C$45*'Control Panel'!K$56*0.5</f>
        <v/>
      </c>
      <c r="M25" s="247">
        <f>'Control Panel'!$B$14*'Control Panel'!$B$10*'Control Panel'!E49*'Control Panel'!$B$45*'Control Panel'!$C$45*'Control Panel'!L$56*0.5</f>
        <v/>
      </c>
      <c r="N25" s="247">
        <f>SUM(C25:M25)</f>
        <v/>
      </c>
    </row>
    <row r="26" ht="15" customHeight="1" s="133">
      <c r="A26" s="316" t="inlineStr">
        <is>
          <t>ATB FINANCIAL SUBTOTAL</t>
        </is>
      </c>
      <c r="B26" s="317" t="inlineStr">
        <is>
          <t>H1 2028</t>
        </is>
      </c>
      <c r="C26" s="318">
        <f>C21+C22+C23+C24+C25</f>
        <v/>
      </c>
      <c r="D26" s="318">
        <f>D21+D22+D23+D24+D25</f>
        <v/>
      </c>
      <c r="E26" s="318">
        <f>E21+E22+E23+E24+E25</f>
        <v/>
      </c>
      <c r="F26" s="318">
        <f>F21+F22+F23+F24+F25</f>
        <v/>
      </c>
      <c r="G26" s="318">
        <f>G21+G22+G23+G24+G25</f>
        <v/>
      </c>
      <c r="H26" s="318">
        <f>H21+H22+H23+H24+H25</f>
        <v/>
      </c>
      <c r="I26" s="318">
        <f>I21+I22+I23+I24+I25</f>
        <v/>
      </c>
      <c r="J26" s="318">
        <f>J21+J22+J23+J24+J25</f>
        <v/>
      </c>
      <c r="K26" s="318">
        <f>K21+K22+K23+K24+K25</f>
        <v/>
      </c>
      <c r="L26" s="318">
        <f>L21+L22+L23+L24+L25</f>
        <v/>
      </c>
      <c r="M26" s="318">
        <f>M21+M22+M23+M24+M25</f>
        <v/>
      </c>
      <c r="N26" s="318">
        <f>SUM(C26:M26)</f>
        <v/>
      </c>
    </row>
    <row r="27" ht="15" customHeight="1" s="133">
      <c r="A27" s="315" t="inlineStr">
        <is>
          <t>BOW VALLEY CREDIT UNION (~$2B)</t>
        </is>
      </c>
      <c r="B27" s="164" t="n"/>
      <c r="C27" s="164" t="n"/>
      <c r="D27" s="164" t="n"/>
      <c r="E27" s="164" t="n"/>
      <c r="F27" s="164" t="n"/>
      <c r="G27" s="164" t="n"/>
      <c r="H27" s="164" t="n"/>
      <c r="I27" s="164" t="n"/>
      <c r="J27" s="164" t="n"/>
      <c r="K27" s="164" t="n"/>
      <c r="L27" s="164" t="n"/>
      <c r="M27" s="164" t="n"/>
      <c r="N27" s="164" t="n"/>
    </row>
    <row r="28" ht="15" customHeight="1" s="133">
      <c r="A28" s="177" t="inlineStr">
        <is>
          <t xml:space="preserve"> Settlement (1.5 bps, 30%)</t>
        </is>
      </c>
      <c r="B28" s="176" t="inlineStr">
        <is>
          <t>H1 2028</t>
        </is>
      </c>
      <c r="C28" s="247">
        <f>'Control Panel'!$B$15*'Control Panel'!$B$6*'Control Panel'!B50*1000000*'Control Panel'!$B$29*IF('Control Panel'!$B$100=1,'Control Panel'!B$98,'Control Panel'!$B$27)*'Control Panel'!$B$41*'Control Panel'!$C$41*'Control Panel'!B$57*(1+IF('Control Panel'!$D$91=1,'Control Panel'!$C$91,'Control Panel'!$B$30))^MAX(0,(0-'Control Panel'!$F$50)/2)*0.5</f>
        <v/>
      </c>
      <c r="D28" s="247">
        <f>'Control Panel'!$B$15*'Control Panel'!$B$6*'Control Panel'!B50*1000000*'Control Panel'!$B$29*IF('Control Panel'!$B$100=1,'Control Panel'!C$98,'Control Panel'!$B$27)*'Control Panel'!$B$41*'Control Panel'!$C$41*'Control Panel'!C$57*(1+IF('Control Panel'!$D$91=1,'Control Panel'!$C$91,'Control Panel'!$B$30))^MAX(0,(1-'Control Panel'!$F$50)/2)*0.5</f>
        <v/>
      </c>
      <c r="E28" s="247">
        <f>'Control Panel'!$B$15*'Control Panel'!$B$6*'Control Panel'!B50*1000000*'Control Panel'!$B$29*IF('Control Panel'!$B$100=1,'Control Panel'!D$98,'Control Panel'!$B$27)*'Control Panel'!$B$41*'Control Panel'!$C$41*'Control Panel'!D$57*(1+IF('Control Panel'!$D$91=1,'Control Panel'!$C$91,'Control Panel'!$B$30))^MAX(0,(2-'Control Panel'!$F$50)/2)*0.5</f>
        <v/>
      </c>
      <c r="F28" s="247">
        <f>'Control Panel'!$B$15*'Control Panel'!$B$6*'Control Panel'!B50*1000000*'Control Panel'!$B$29*IF('Control Panel'!$B$100=1,'Control Panel'!E$98,'Control Panel'!$B$27)*'Control Panel'!$B$41*'Control Panel'!$C$41*'Control Panel'!E$57*(1+IF('Control Panel'!$D$91=1,'Control Panel'!$C$91,'Control Panel'!$B$30))^MAX(0,(3-'Control Panel'!$F$50)/2)*0.5</f>
        <v/>
      </c>
      <c r="G28" s="247">
        <f>'Control Panel'!$B$15*'Control Panel'!$B$6*'Control Panel'!B50*1000000*'Control Panel'!$B$29*IF('Control Panel'!$B$100=1,'Control Panel'!F$98,'Control Panel'!$B$27)*'Control Panel'!$B$41*'Control Panel'!$C$41*'Control Panel'!F$57*(1+IF('Control Panel'!$D$91=1,'Control Panel'!$C$91,'Control Panel'!$B$30))^MAX(0,(4-'Control Panel'!$F$50)/2)*0.5</f>
        <v/>
      </c>
      <c r="H28" s="247">
        <f>'Control Panel'!$B$15*'Control Panel'!$B$6*'Control Panel'!B50*1000000*'Control Panel'!$B$29*IF('Control Panel'!$B$100=1,'Control Panel'!G$98,'Control Panel'!$B$27)*'Control Panel'!$B$41*'Control Panel'!$C$41*'Control Panel'!G$57*(1+IF('Control Panel'!$D$91=1,'Control Panel'!$C$91,'Control Panel'!$B$30))^MAX(0,(5-'Control Panel'!$F$50)/2)*0.5</f>
        <v/>
      </c>
      <c r="I28" s="247">
        <f>'Control Panel'!$B$15*'Control Panel'!$B$6*'Control Panel'!B50*1000000*'Control Panel'!$B$29*IF('Control Panel'!$B$100=1,'Control Panel'!H$98,'Control Panel'!$B$27)*'Control Panel'!$B$41*'Control Panel'!$C$41*'Control Panel'!H$57*(1+IF('Control Panel'!$D$91=1,'Control Panel'!$C$91,'Control Panel'!$B$30))^MAX(0,(6-'Control Panel'!$F$50)/2)*0.5</f>
        <v/>
      </c>
      <c r="J28" s="247">
        <f>'Control Panel'!$B$15*'Control Panel'!$B$6*'Control Panel'!B50*1000000*'Control Panel'!$B$29*IF('Control Panel'!$B$100=1,'Control Panel'!I$98,'Control Panel'!$B$27)*'Control Panel'!$B$41*'Control Panel'!$C$41*'Control Panel'!I$57*(1+IF('Control Panel'!$D$91=1,'Control Panel'!$C$91,'Control Panel'!$B$30))^MAX(0,(7-'Control Panel'!$F$50)/2)*0.5</f>
        <v/>
      </c>
      <c r="K28" s="247">
        <f>'Control Panel'!$B$15*'Control Panel'!$B$6*'Control Panel'!B50*1000000*'Control Panel'!$B$29*IF('Control Panel'!$B$100=1,'Control Panel'!J$98,'Control Panel'!$B$27)*'Control Panel'!$B$41*'Control Panel'!$C$41*'Control Panel'!J$57*(1+IF('Control Panel'!$D$91=1,'Control Panel'!$C$91,'Control Panel'!$B$30))^MAX(0,(8-'Control Panel'!$F$50)/2)*0.5</f>
        <v/>
      </c>
      <c r="L28" s="247">
        <f>'Control Panel'!$B$15*'Control Panel'!$B$6*'Control Panel'!B50*1000000*'Control Panel'!$B$29*IF('Control Panel'!$B$100=1,'Control Panel'!K$98,'Control Panel'!$B$27)*'Control Panel'!$B$41*'Control Panel'!$C$41*'Control Panel'!K$57*(1+IF('Control Panel'!$D$91=1,'Control Panel'!$C$91,'Control Panel'!$B$30))^MAX(0,(9-'Control Panel'!$F$50)/2)*0.5</f>
        <v/>
      </c>
      <c r="M28" s="247">
        <f>'Control Panel'!$B$15*'Control Panel'!$B$6*'Control Panel'!B50*1000000*'Control Panel'!$B$29*IF('Control Panel'!$B$100=1,'Control Panel'!L$98,'Control Panel'!$B$27)*'Control Panel'!$B$41*'Control Panel'!$C$41*'Control Panel'!L$57*(1+IF('Control Panel'!$D$91=1,'Control Panel'!$C$91,'Control Panel'!$B$30))^MAX(0,(10-'Control Panel'!$F$50)/2)*0.5</f>
        <v/>
      </c>
      <c r="N28" s="247">
        <f>SUM(C28:M28)</f>
        <v/>
      </c>
    </row>
    <row r="29" ht="15" customHeight="1" s="133">
      <c r="A29" s="177" t="inlineStr">
        <is>
          <t xml:space="preserve"> Issuance (0.5%, 60%)</t>
        </is>
      </c>
      <c r="B29" s="176" t="inlineStr">
        <is>
          <t>H1 2028</t>
        </is>
      </c>
      <c r="C29" s="247">
        <f>'Control Panel'!$B$15*'Control Panel'!$B$7*'Control Panel'!C50*1000000*IF('Control Panel'!$B$100=1,'Control Panel'!B$99,'Control Panel'!$B$28)*'Control Panel'!$B$42*'Control Panel'!$C$42*'Control Panel'!B$57*(1+IF('Control Panel'!$D$91=1,'Control Panel'!$C$91,'Control Panel'!$B$30))^MAX(0,(0-'Control Panel'!$F$50)/2)*0.5</f>
        <v/>
      </c>
      <c r="D29" s="247">
        <f>'Control Panel'!$B$15*'Control Panel'!$B$7*'Control Panel'!C50*1000000*IF('Control Panel'!$B$100=1,'Control Panel'!C$99,'Control Panel'!$B$28)*'Control Panel'!$B$42*'Control Panel'!$C$42*'Control Panel'!C$57*(1+IF('Control Panel'!$D$91=1,'Control Panel'!$C$91,'Control Panel'!$B$30))^MAX(0,(1-'Control Panel'!$F$50)/2)*0.5</f>
        <v/>
      </c>
      <c r="E29" s="247">
        <f>'Control Panel'!$B$15*'Control Panel'!$B$7*'Control Panel'!C50*1000000*IF('Control Panel'!$B$100=1,'Control Panel'!D$99,'Control Panel'!$B$28)*'Control Panel'!$B$42*'Control Panel'!$C$42*'Control Panel'!D$57*(1+IF('Control Panel'!$D$91=1,'Control Panel'!$C$91,'Control Panel'!$B$30))^MAX(0,(2-'Control Panel'!$F$50)/2)*0.5</f>
        <v/>
      </c>
      <c r="F29" s="247">
        <f>'Control Panel'!$B$15*'Control Panel'!$B$7*'Control Panel'!C50*1000000*IF('Control Panel'!$B$100=1,'Control Panel'!E$99,'Control Panel'!$B$28)*'Control Panel'!$B$42*'Control Panel'!$C$42*'Control Panel'!E$57*(1+IF('Control Panel'!$D$91=1,'Control Panel'!$C$91,'Control Panel'!$B$30))^MAX(0,(3-'Control Panel'!$F$50)/2)*0.5</f>
        <v/>
      </c>
      <c r="G29" s="247">
        <f>'Control Panel'!$B$15*'Control Panel'!$B$7*'Control Panel'!C50*1000000*IF('Control Panel'!$B$100=1,'Control Panel'!F$99,'Control Panel'!$B$28)*'Control Panel'!$B$42*'Control Panel'!$C$42*'Control Panel'!F$57*(1+IF('Control Panel'!$D$91=1,'Control Panel'!$C$91,'Control Panel'!$B$30))^MAX(0,(4-'Control Panel'!$F$50)/2)*0.5</f>
        <v/>
      </c>
      <c r="H29" s="247">
        <f>'Control Panel'!$B$15*'Control Panel'!$B$7*'Control Panel'!C50*1000000*IF('Control Panel'!$B$100=1,'Control Panel'!G$99,'Control Panel'!$B$28)*'Control Panel'!$B$42*'Control Panel'!$C$42*'Control Panel'!G$57*(1+IF('Control Panel'!$D$91=1,'Control Panel'!$C$91,'Control Panel'!$B$30))^MAX(0,(5-'Control Panel'!$F$50)/2)*0.5</f>
        <v/>
      </c>
      <c r="I29" s="247">
        <f>'Control Panel'!$B$15*'Control Panel'!$B$7*'Control Panel'!C50*1000000*IF('Control Panel'!$B$100=1,'Control Panel'!H$99,'Control Panel'!$B$28)*'Control Panel'!$B$42*'Control Panel'!$C$42*'Control Panel'!H$57*(1+IF('Control Panel'!$D$91=1,'Control Panel'!$C$91,'Control Panel'!$B$30))^MAX(0,(6-'Control Panel'!$F$50)/2)*0.5</f>
        <v/>
      </c>
      <c r="J29" s="247">
        <f>'Control Panel'!$B$15*'Control Panel'!$B$7*'Control Panel'!C50*1000000*IF('Control Panel'!$B$100=1,'Control Panel'!I$99,'Control Panel'!$B$28)*'Control Panel'!$B$42*'Control Panel'!$C$42*'Control Panel'!I$57*(1+IF('Control Panel'!$D$91=1,'Control Panel'!$C$91,'Control Panel'!$B$30))^MAX(0,(7-'Control Panel'!$F$50)/2)*0.5</f>
        <v/>
      </c>
      <c r="K29" s="247">
        <f>'Control Panel'!$B$15*'Control Panel'!$B$7*'Control Panel'!C50*1000000*IF('Control Panel'!$B$100=1,'Control Panel'!J$99,'Control Panel'!$B$28)*'Control Panel'!$B$42*'Control Panel'!$C$42*'Control Panel'!J$57*(1+IF('Control Panel'!$D$91=1,'Control Panel'!$C$91,'Control Panel'!$B$30))^MAX(0,(8-'Control Panel'!$F$50)/2)*0.5</f>
        <v/>
      </c>
      <c r="L29" s="247">
        <f>'Control Panel'!$B$15*'Control Panel'!$B$7*'Control Panel'!C50*1000000*IF('Control Panel'!$B$100=1,'Control Panel'!K$99,'Control Panel'!$B$28)*'Control Panel'!$B$42*'Control Panel'!$C$42*'Control Panel'!K$57*(1+IF('Control Panel'!$D$91=1,'Control Panel'!$C$91,'Control Panel'!$B$30))^MAX(0,(9-'Control Panel'!$F$50)/2)*0.5</f>
        <v/>
      </c>
      <c r="M29" s="247">
        <f>'Control Panel'!$B$15*'Control Panel'!$B$7*'Control Panel'!C50*1000000*IF('Control Panel'!$B$100=1,'Control Panel'!L$99,'Control Panel'!$B$28)*'Control Panel'!$B$42*'Control Panel'!$C$42*'Control Panel'!L$57*(1+IF('Control Panel'!$D$91=1,'Control Panel'!$C$91,'Control Panel'!$B$30))^MAX(0,(10-'Control Panel'!$F$50)/2)*0.5</f>
        <v/>
      </c>
      <c r="N29" s="247">
        <f>SUM(C29:M29)</f>
        <v/>
      </c>
    </row>
    <row r="30" ht="15" customHeight="1" s="133">
      <c r="A30" s="177" t="inlineStr">
        <is>
          <t xml:space="preserve"> Trading (5 bps, 100%)</t>
        </is>
      </c>
      <c r="B30" s="176" t="inlineStr">
        <is>
          <t>H1 2028</t>
        </is>
      </c>
      <c r="C30" s="247">
        <f>'Control Panel'!$B$15*'Control Panel'!$B$8*'Control Panel'!C50*1000000*IF('Control Panel'!$B$100=1,'Control Panel'!B$99,'Control Panel'!$B$28)*'Control Panel'!$B$62*'Control Panel'!$B$43*'Control Panel'!$C$43*'Control Panel'!B$57*(1+IF('Control Panel'!$D$91=1,'Control Panel'!$C$91,'Control Panel'!$B$30))^MAX(0,(0-'Control Panel'!$F$50)/2)*0.5</f>
        <v/>
      </c>
      <c r="D30" s="247">
        <f>'Control Panel'!$B$15*'Control Panel'!$B$8*'Control Panel'!C50*1000000*IF('Control Panel'!$B$100=1,'Control Panel'!C$99,'Control Panel'!$B$28)*'Control Panel'!$B$62*'Control Panel'!$B$43*'Control Panel'!$C$43*'Control Panel'!C$57*(1+IF('Control Panel'!$D$91=1,'Control Panel'!$C$91,'Control Panel'!$B$30))^MAX(0,(1-'Control Panel'!$F$50)/2)*0.5</f>
        <v/>
      </c>
      <c r="E30" s="247">
        <f>'Control Panel'!$B$15*'Control Panel'!$B$8*'Control Panel'!C50*1000000*IF('Control Panel'!$B$100=1,'Control Panel'!D$99,'Control Panel'!$B$28)*'Control Panel'!$B$62*'Control Panel'!$B$43*'Control Panel'!$C$43*'Control Panel'!D$57*(1+IF('Control Panel'!$D$91=1,'Control Panel'!$C$91,'Control Panel'!$B$30))^MAX(0,(2-'Control Panel'!$F$50)/2)*0.5</f>
        <v/>
      </c>
      <c r="F30" s="247">
        <f>'Control Panel'!$B$15*'Control Panel'!$B$8*'Control Panel'!C50*1000000*IF('Control Panel'!$B$100=1,'Control Panel'!E$99,'Control Panel'!$B$28)*'Control Panel'!$B$62*'Control Panel'!$B$43*'Control Panel'!$C$43*'Control Panel'!E$57*(1+IF('Control Panel'!$D$91=1,'Control Panel'!$C$91,'Control Panel'!$B$30))^MAX(0,(3-'Control Panel'!$F$50)/2)*0.5</f>
        <v/>
      </c>
      <c r="G30" s="247">
        <f>'Control Panel'!$B$15*'Control Panel'!$B$8*'Control Panel'!C50*1000000*IF('Control Panel'!$B$100=1,'Control Panel'!F$99,'Control Panel'!$B$28)*'Control Panel'!$B$62*'Control Panel'!$B$43*'Control Panel'!$C$43*'Control Panel'!F$57*(1+IF('Control Panel'!$D$91=1,'Control Panel'!$C$91,'Control Panel'!$B$30))^MAX(0,(4-'Control Panel'!$F$50)/2)*0.5</f>
        <v/>
      </c>
      <c r="H30" s="247">
        <f>'Control Panel'!$B$15*'Control Panel'!$B$8*'Control Panel'!C50*1000000*IF('Control Panel'!$B$100=1,'Control Panel'!G$99,'Control Panel'!$B$28)*'Control Panel'!$B$62*'Control Panel'!$B$43*'Control Panel'!$C$43*'Control Panel'!G$57*(1+IF('Control Panel'!$D$91=1,'Control Panel'!$C$91,'Control Panel'!$B$30))^MAX(0,(5-'Control Panel'!$F$50)/2)*0.5</f>
        <v/>
      </c>
      <c r="I30" s="247">
        <f>'Control Panel'!$B$15*'Control Panel'!$B$8*'Control Panel'!C50*1000000*IF('Control Panel'!$B$100=1,'Control Panel'!H$99,'Control Panel'!$B$28)*'Control Panel'!$B$62*'Control Panel'!$B$43*'Control Panel'!$C$43*'Control Panel'!H$57*(1+IF('Control Panel'!$D$91=1,'Control Panel'!$C$91,'Control Panel'!$B$30))^MAX(0,(6-'Control Panel'!$F$50)/2)*0.5</f>
        <v/>
      </c>
      <c r="J30" s="247">
        <f>'Control Panel'!$B$15*'Control Panel'!$B$8*'Control Panel'!C50*1000000*IF('Control Panel'!$B$100=1,'Control Panel'!I$99,'Control Panel'!$B$28)*'Control Panel'!$B$62*'Control Panel'!$B$43*'Control Panel'!$C$43*'Control Panel'!I$57*(1+IF('Control Panel'!$D$91=1,'Control Panel'!$C$91,'Control Panel'!$B$30))^MAX(0,(7-'Control Panel'!$F$50)/2)*0.5</f>
        <v/>
      </c>
      <c r="K30" s="247">
        <f>'Control Panel'!$B$15*'Control Panel'!$B$8*'Control Panel'!C50*1000000*IF('Control Panel'!$B$100=1,'Control Panel'!J$99,'Control Panel'!$B$28)*'Control Panel'!$B$62*'Control Panel'!$B$43*'Control Panel'!$C$43*'Control Panel'!J$57*(1+IF('Control Panel'!$D$91=1,'Control Panel'!$C$91,'Control Panel'!$B$30))^MAX(0,(8-'Control Panel'!$F$50)/2)*0.5</f>
        <v/>
      </c>
      <c r="L30" s="247">
        <f>'Control Panel'!$B$15*'Control Panel'!$B$8*'Control Panel'!C50*1000000*IF('Control Panel'!$B$100=1,'Control Panel'!K$99,'Control Panel'!$B$28)*'Control Panel'!$B$62*'Control Panel'!$B$43*'Control Panel'!$C$43*'Control Panel'!K$57*(1+IF('Control Panel'!$D$91=1,'Control Panel'!$C$91,'Control Panel'!$B$30))^MAX(0,(9-'Control Panel'!$F$50)/2)*0.5</f>
        <v/>
      </c>
      <c r="M30" s="247">
        <f>'Control Panel'!$B$15*'Control Panel'!$B$8*'Control Panel'!C50*1000000*IF('Control Panel'!$B$100=1,'Control Panel'!L$99,'Control Panel'!$B$28)*'Control Panel'!$B$62*'Control Panel'!$B$43*'Control Panel'!$C$43*'Control Panel'!L$57*(1+IF('Control Panel'!$D$91=1,'Control Panel'!$C$91,'Control Panel'!$B$30))^MAX(0,(10-'Control Panel'!$F$50)/2)*0.5</f>
        <v/>
      </c>
      <c r="N30" s="247">
        <f>SUM(C30:M30)</f>
        <v/>
      </c>
    </row>
    <row r="31" ht="15" customHeight="1" s="133">
      <c r="A31" s="177" t="inlineStr">
        <is>
          <t xml:space="preserve"> Custody (30 bps, 40%)</t>
        </is>
      </c>
      <c r="B31" s="176" t="inlineStr">
        <is>
          <t>H1 2028</t>
        </is>
      </c>
      <c r="C31" s="247">
        <f>'Control Panel'!$B$15*'Control Panel'!$B$9*'Control Panel'!D50*1000000*IF('Control Panel'!$B$100=1,'Control Panel'!B$99,'Control Panel'!$B$28)*'Control Panel'!$B$44*'Control Panel'!$C$44*'Control Panel'!B$57*(1+IF('Control Panel'!$D$91=1,'Control Panel'!$C$91,'Control Panel'!$B$30))^MAX(0,(0-'Control Panel'!$F$50)/2)*0.5</f>
        <v/>
      </c>
      <c r="D31" s="247">
        <f>'Control Panel'!$B$15*'Control Panel'!$B$9*'Control Panel'!D50*1000000*IF('Control Panel'!$B$100=1,'Control Panel'!C$99,'Control Panel'!$B$28)*'Control Panel'!$B$44*'Control Panel'!$C$44*'Control Panel'!C$57*(1+IF('Control Panel'!$D$91=1,'Control Panel'!$C$91,'Control Panel'!$B$30))^MAX(0,(1-'Control Panel'!$F$50)/2)*0.5</f>
        <v/>
      </c>
      <c r="E31" s="247">
        <f>'Control Panel'!$B$15*'Control Panel'!$B$9*'Control Panel'!D50*1000000*IF('Control Panel'!$B$100=1,'Control Panel'!D$99,'Control Panel'!$B$28)*'Control Panel'!$B$44*'Control Panel'!$C$44*'Control Panel'!D$57*(1+IF('Control Panel'!$D$91=1,'Control Panel'!$C$91,'Control Panel'!$B$30))^MAX(0,(2-'Control Panel'!$F$50)/2)*0.5</f>
        <v/>
      </c>
      <c r="F31" s="247">
        <f>'Control Panel'!$B$15*'Control Panel'!$B$9*'Control Panel'!D50*1000000*IF('Control Panel'!$B$100=1,'Control Panel'!E$99,'Control Panel'!$B$28)*'Control Panel'!$B$44*'Control Panel'!$C$44*'Control Panel'!E$57*(1+IF('Control Panel'!$D$91=1,'Control Panel'!$C$91,'Control Panel'!$B$30))^MAX(0,(3-'Control Panel'!$F$50)/2)*0.5</f>
        <v/>
      </c>
      <c r="G31" s="247">
        <f>'Control Panel'!$B$15*'Control Panel'!$B$9*'Control Panel'!D50*1000000*IF('Control Panel'!$B$100=1,'Control Panel'!F$99,'Control Panel'!$B$28)*'Control Panel'!$B$44*'Control Panel'!$C$44*'Control Panel'!F$57*(1+IF('Control Panel'!$D$91=1,'Control Panel'!$C$91,'Control Panel'!$B$30))^MAX(0,(4-'Control Panel'!$F$50)/2)*0.5</f>
        <v/>
      </c>
      <c r="H31" s="247">
        <f>'Control Panel'!$B$15*'Control Panel'!$B$9*'Control Panel'!D50*1000000*IF('Control Panel'!$B$100=1,'Control Panel'!G$99,'Control Panel'!$B$28)*'Control Panel'!$B$44*'Control Panel'!$C$44*'Control Panel'!G$57*(1+IF('Control Panel'!$D$91=1,'Control Panel'!$C$91,'Control Panel'!$B$30))^MAX(0,(5-'Control Panel'!$F$50)/2)*0.5</f>
        <v/>
      </c>
      <c r="I31" s="247">
        <f>'Control Panel'!$B$15*'Control Panel'!$B$9*'Control Panel'!D50*1000000*IF('Control Panel'!$B$100=1,'Control Panel'!H$99,'Control Panel'!$B$28)*'Control Panel'!$B$44*'Control Panel'!$C$44*'Control Panel'!H$57*(1+IF('Control Panel'!$D$91=1,'Control Panel'!$C$91,'Control Panel'!$B$30))^MAX(0,(6-'Control Panel'!$F$50)/2)*0.5</f>
        <v/>
      </c>
      <c r="J31" s="247">
        <f>'Control Panel'!$B$15*'Control Panel'!$B$9*'Control Panel'!D50*1000000*IF('Control Panel'!$B$100=1,'Control Panel'!I$99,'Control Panel'!$B$28)*'Control Panel'!$B$44*'Control Panel'!$C$44*'Control Panel'!I$57*(1+IF('Control Panel'!$D$91=1,'Control Panel'!$C$91,'Control Panel'!$B$30))^MAX(0,(7-'Control Panel'!$F$50)/2)*0.5</f>
        <v/>
      </c>
      <c r="K31" s="247">
        <f>'Control Panel'!$B$15*'Control Panel'!$B$9*'Control Panel'!D50*1000000*IF('Control Panel'!$B$100=1,'Control Panel'!J$99,'Control Panel'!$B$28)*'Control Panel'!$B$44*'Control Panel'!$C$44*'Control Panel'!J$57*(1+IF('Control Panel'!$D$91=1,'Control Panel'!$C$91,'Control Panel'!$B$30))^MAX(0,(8-'Control Panel'!$F$50)/2)*0.5</f>
        <v/>
      </c>
      <c r="L31" s="247">
        <f>'Control Panel'!$B$15*'Control Panel'!$B$9*'Control Panel'!D50*1000000*IF('Control Panel'!$B$100=1,'Control Panel'!K$99,'Control Panel'!$B$28)*'Control Panel'!$B$44*'Control Panel'!$C$44*'Control Panel'!K$57*(1+IF('Control Panel'!$D$91=1,'Control Panel'!$C$91,'Control Panel'!$B$30))^MAX(0,(9-'Control Panel'!$F$50)/2)*0.5</f>
        <v/>
      </c>
      <c r="M31" s="247">
        <f>'Control Panel'!$B$15*'Control Panel'!$B$9*'Control Panel'!D50*1000000*IF('Control Panel'!$B$100=1,'Control Panel'!L$99,'Control Panel'!$B$28)*'Control Panel'!$B$44*'Control Panel'!$C$44*'Control Panel'!L$57*(1+IF('Control Panel'!$D$91=1,'Control Panel'!$C$91,'Control Panel'!$B$30))^MAX(0,(10-'Control Panel'!$F$50)/2)*0.5</f>
        <v/>
      </c>
      <c r="N31" s="247">
        <f>SUM(C31:M31)</f>
        <v/>
      </c>
    </row>
    <row r="32" ht="15" customHeight="1" s="133">
      <c r="A32" s="177" t="inlineStr">
        <is>
          <t xml:space="preserve"> SaaS + APIs (80%)</t>
        </is>
      </c>
      <c r="B32" s="176" t="inlineStr">
        <is>
          <t>H1 2028</t>
        </is>
      </c>
      <c r="C32" s="247">
        <f>'Control Panel'!$B$15*'Control Panel'!$B$10*'Control Panel'!E50*'Control Panel'!$B$45*'Control Panel'!$C$45*'Control Panel'!B$57*0.5</f>
        <v/>
      </c>
      <c r="D32" s="247">
        <f>'Control Panel'!$B$15*'Control Panel'!$B$10*'Control Panel'!E50*'Control Panel'!$B$45*'Control Panel'!$C$45*'Control Panel'!C$57*0.5</f>
        <v/>
      </c>
      <c r="E32" s="247">
        <f>'Control Panel'!$B$15*'Control Panel'!$B$10*'Control Panel'!E50*'Control Panel'!$B$45*'Control Panel'!$C$45*'Control Panel'!D$57*0.5</f>
        <v/>
      </c>
      <c r="F32" s="247">
        <f>'Control Panel'!$B$15*'Control Panel'!$B$10*'Control Panel'!E50*'Control Panel'!$B$45*'Control Panel'!$C$45*'Control Panel'!E$57*0.5</f>
        <v/>
      </c>
      <c r="G32" s="247">
        <f>'Control Panel'!$B$15*'Control Panel'!$B$10*'Control Panel'!E50*'Control Panel'!$B$45*'Control Panel'!$C$45*'Control Panel'!F$57*0.5</f>
        <v/>
      </c>
      <c r="H32" s="247">
        <f>'Control Panel'!$B$15*'Control Panel'!$B$10*'Control Panel'!E50*'Control Panel'!$B$45*'Control Panel'!$C$45*'Control Panel'!G$57*0.5</f>
        <v/>
      </c>
      <c r="I32" s="247">
        <f>'Control Panel'!$B$15*'Control Panel'!$B$10*'Control Panel'!E50*'Control Panel'!$B$45*'Control Panel'!$C$45*'Control Panel'!H$57*0.5</f>
        <v/>
      </c>
      <c r="J32" s="247">
        <f>'Control Panel'!$B$15*'Control Panel'!$B$10*'Control Panel'!E50*'Control Panel'!$B$45*'Control Panel'!$C$45*'Control Panel'!I$57*0.5</f>
        <v/>
      </c>
      <c r="K32" s="247">
        <f>'Control Panel'!$B$15*'Control Panel'!$B$10*'Control Panel'!E50*'Control Panel'!$B$45*'Control Panel'!$C$45*'Control Panel'!J$57*0.5</f>
        <v/>
      </c>
      <c r="L32" s="247">
        <f>'Control Panel'!$B$15*'Control Panel'!$B$10*'Control Panel'!E50*'Control Panel'!$B$45*'Control Panel'!$C$45*'Control Panel'!K$57*0.5</f>
        <v/>
      </c>
      <c r="M32" s="247">
        <f>'Control Panel'!$B$15*'Control Panel'!$B$10*'Control Panel'!E50*'Control Panel'!$B$45*'Control Panel'!$C$45*'Control Panel'!L$57*0.5</f>
        <v/>
      </c>
      <c r="N32" s="247">
        <f>SUM(C32:M32)</f>
        <v/>
      </c>
    </row>
    <row r="33" ht="15" customHeight="1" s="133">
      <c r="A33" s="316" t="inlineStr">
        <is>
          <t>BVCU SUBTOTAL</t>
        </is>
      </c>
      <c r="B33" s="317" t="inlineStr">
        <is>
          <t>H1 2028</t>
        </is>
      </c>
      <c r="C33" s="318">
        <f>C28+C29+C30+C31+C32</f>
        <v/>
      </c>
      <c r="D33" s="318">
        <f>D28+D29+D30+D31+D32</f>
        <v/>
      </c>
      <c r="E33" s="318">
        <f>E28+E29+E30+E31+E32</f>
        <v/>
      </c>
      <c r="F33" s="318">
        <f>F28+F29+F30+F31+F32</f>
        <v/>
      </c>
      <c r="G33" s="318">
        <f>G28+G29+G30+G31+G32</f>
        <v/>
      </c>
      <c r="H33" s="318">
        <f>H28+H29+H30+H31+H32</f>
        <v/>
      </c>
      <c r="I33" s="318">
        <f>I28+I29+I30+I31+I32</f>
        <v/>
      </c>
      <c r="J33" s="318">
        <f>J28+J29+J30+J31+J32</f>
        <v/>
      </c>
      <c r="K33" s="318">
        <f>K28+K29+K30+K31+K32</f>
        <v/>
      </c>
      <c r="L33" s="318">
        <f>L28+L29+L30+L31+L32</f>
        <v/>
      </c>
      <c r="M33" s="318">
        <f>M28+M29+M30+M31+M32</f>
        <v/>
      </c>
      <c r="N33" s="318">
        <f>SUM(C33:M33)</f>
        <v/>
      </c>
    </row>
    <row r="34" ht="15" customHeight="1" s="133">
      <c r="A34" s="315" t="inlineStr">
        <is>
          <t>VANCITY CU ($35.5B AUA)</t>
        </is>
      </c>
      <c r="B34" s="151" t="n"/>
      <c r="C34" s="151" t="n"/>
      <c r="D34" s="151" t="n"/>
      <c r="E34" s="151" t="n"/>
      <c r="F34" s="151" t="n"/>
      <c r="G34" s="151" t="n"/>
      <c r="H34" s="151" t="n"/>
      <c r="I34" s="151" t="n"/>
      <c r="J34" s="151" t="n"/>
      <c r="K34" s="151" t="n"/>
      <c r="L34" s="151" t="n"/>
      <c r="M34" s="151" t="n"/>
      <c r="N34" s="151" t="n"/>
    </row>
    <row r="35" ht="15" customHeight="1" s="133">
      <c r="A35" s="177" t="inlineStr">
        <is>
          <t xml:space="preserve"> Settlement (1.5 bps, 30%)</t>
        </is>
      </c>
      <c r="B35" s="176" t="inlineStr">
        <is>
          <t>H1 2029</t>
        </is>
      </c>
      <c r="C35" s="247">
        <f>'Control Panel'!$B$16*'Control Panel'!$B$6*'Control Panel'!B51*1000000*'Control Panel'!$B$29*IF('Control Panel'!$B$100=1,'Control Panel'!B$98,'Control Panel'!$B$27)*'Control Panel'!$B$41*'Control Panel'!$C$41*'Control Panel'!B$58*(1+IF('Control Panel'!$D$92=1,'Control Panel'!$C$92,'Control Panel'!$B$30))^MAX(0,(0-'Control Panel'!$F$51)/2)*0.5</f>
        <v/>
      </c>
      <c r="D35" s="247">
        <f>'Control Panel'!$B$16*'Control Panel'!$B$6*'Control Panel'!B51*1000000*'Control Panel'!$B$29*IF('Control Panel'!$B$100=1,'Control Panel'!C$98,'Control Panel'!$B$27)*'Control Panel'!$B$41*'Control Panel'!$C$41*'Control Panel'!C$58*(1+IF('Control Panel'!$D$92=1,'Control Panel'!$C$92,'Control Panel'!$B$30))^MAX(0,(1-'Control Panel'!$F$51)/2)*0.5</f>
        <v/>
      </c>
      <c r="E35" s="247">
        <f>'Control Panel'!$B$16*'Control Panel'!$B$6*'Control Panel'!B51*1000000*'Control Panel'!$B$29*IF('Control Panel'!$B$100=1,'Control Panel'!D$98,'Control Panel'!$B$27)*'Control Panel'!$B$41*'Control Panel'!$C$41*'Control Panel'!D$58*(1+IF('Control Panel'!$D$92=1,'Control Panel'!$C$92,'Control Panel'!$B$30))^MAX(0,(2-'Control Panel'!$F$51)/2)*0.5</f>
        <v/>
      </c>
      <c r="F35" s="247">
        <f>'Control Panel'!$B$16*'Control Panel'!$B$6*'Control Panel'!B51*1000000*'Control Panel'!$B$29*IF('Control Panel'!$B$100=1,'Control Panel'!E$98,'Control Panel'!$B$27)*'Control Panel'!$B$41*'Control Panel'!$C$41*'Control Panel'!E$58*(1+IF('Control Panel'!$D$92=1,'Control Panel'!$C$92,'Control Panel'!$B$30))^MAX(0,(3-'Control Panel'!$F$51)/2)*0.5</f>
        <v/>
      </c>
      <c r="G35" s="247">
        <f>'Control Panel'!$B$16*'Control Panel'!$B$6*'Control Panel'!B51*1000000*'Control Panel'!$B$29*IF('Control Panel'!$B$100=1,'Control Panel'!F$98,'Control Panel'!$B$27)*'Control Panel'!$B$41*'Control Panel'!$C$41*'Control Panel'!F$58*(1+IF('Control Panel'!$D$92=1,'Control Panel'!$C$92,'Control Panel'!$B$30))^MAX(0,(4-'Control Panel'!$F$51)/2)*0.5</f>
        <v/>
      </c>
      <c r="H35" s="247">
        <f>'Control Panel'!$B$16*'Control Panel'!$B$6*'Control Panel'!B51*1000000*'Control Panel'!$B$29*IF('Control Panel'!$B$100=1,'Control Panel'!G$98,'Control Panel'!$B$27)*'Control Panel'!$B$41*'Control Panel'!$C$41*'Control Panel'!G$58*(1+IF('Control Panel'!$D$92=1,'Control Panel'!$C$92,'Control Panel'!$B$30))^MAX(0,(5-'Control Panel'!$F$51)/2)*0.5</f>
        <v/>
      </c>
      <c r="I35" s="247">
        <f>'Control Panel'!$B$16*'Control Panel'!$B$6*'Control Panel'!B51*1000000*'Control Panel'!$B$29*IF('Control Panel'!$B$100=1,'Control Panel'!H$98,'Control Panel'!$B$27)*'Control Panel'!$B$41*'Control Panel'!$C$41*'Control Panel'!H$58*(1+IF('Control Panel'!$D$92=1,'Control Panel'!$C$92,'Control Panel'!$B$30))^MAX(0,(6-'Control Panel'!$F$51)/2)*0.5</f>
        <v/>
      </c>
      <c r="J35" s="247">
        <f>'Control Panel'!$B$16*'Control Panel'!$B$6*'Control Panel'!B51*1000000*'Control Panel'!$B$29*IF('Control Panel'!$B$100=1,'Control Panel'!I$98,'Control Panel'!$B$27)*'Control Panel'!$B$41*'Control Panel'!$C$41*'Control Panel'!I$58*(1+IF('Control Panel'!$D$92=1,'Control Panel'!$C$92,'Control Panel'!$B$30))^MAX(0,(7-'Control Panel'!$F$51)/2)*0.5</f>
        <v/>
      </c>
      <c r="K35" s="247">
        <f>'Control Panel'!$B$16*'Control Panel'!$B$6*'Control Panel'!B51*1000000*'Control Panel'!$B$29*IF('Control Panel'!$B$100=1,'Control Panel'!J$98,'Control Panel'!$B$27)*'Control Panel'!$B$41*'Control Panel'!$C$41*'Control Panel'!J$58*(1+IF('Control Panel'!$D$92=1,'Control Panel'!$C$92,'Control Panel'!$B$30))^MAX(0,(8-'Control Panel'!$F$51)/2)*0.5</f>
        <v/>
      </c>
      <c r="L35" s="247">
        <f>'Control Panel'!$B$16*'Control Panel'!$B$6*'Control Panel'!B51*1000000*'Control Panel'!$B$29*IF('Control Panel'!$B$100=1,'Control Panel'!K$98,'Control Panel'!$B$27)*'Control Panel'!$B$41*'Control Panel'!$C$41*'Control Panel'!K$58*(1+IF('Control Panel'!$D$92=1,'Control Panel'!$C$92,'Control Panel'!$B$30))^MAX(0,(9-'Control Panel'!$F$51)/2)*0.5</f>
        <v/>
      </c>
      <c r="M35" s="247">
        <f>'Control Panel'!$B$16*'Control Panel'!$B$6*'Control Panel'!B51*1000000*'Control Panel'!$B$29*IF('Control Panel'!$B$100=1,'Control Panel'!L$98,'Control Panel'!$B$27)*'Control Panel'!$B$41*'Control Panel'!$C$41*'Control Panel'!L$58*(1+IF('Control Panel'!$D$92=1,'Control Panel'!$C$92,'Control Panel'!$B$30))^MAX(0,(10-'Control Panel'!$F$51)/2)*0.5</f>
        <v/>
      </c>
      <c r="N35" s="247">
        <f>SUM(C35:M35)</f>
        <v/>
      </c>
    </row>
    <row r="36" ht="15" customHeight="1" s="133">
      <c r="A36" s="177" t="inlineStr">
        <is>
          <t xml:space="preserve"> Issuance (0.5%, 60%)</t>
        </is>
      </c>
      <c r="B36" s="176" t="inlineStr">
        <is>
          <t>H1 2029</t>
        </is>
      </c>
      <c r="C36" s="247">
        <f>'Control Panel'!$B$16*'Control Panel'!$B$7*'Control Panel'!C51*1000000*IF('Control Panel'!$B$100=1,'Control Panel'!B$99,'Control Panel'!$B$28)*'Control Panel'!$B$42*'Control Panel'!$C$42*'Control Panel'!B$58*(1+IF('Control Panel'!$D$92=1,'Control Panel'!$C$92,'Control Panel'!$B$30))^MAX(0,(0-'Control Panel'!$F$51)/2)*0.5</f>
        <v/>
      </c>
      <c r="D36" s="247">
        <f>'Control Panel'!$B$16*'Control Panel'!$B$7*'Control Panel'!C51*1000000*IF('Control Panel'!$B$100=1,'Control Panel'!C$99,'Control Panel'!$B$28)*'Control Panel'!$B$42*'Control Panel'!$C$42*'Control Panel'!C$58*(1+IF('Control Panel'!$D$92=1,'Control Panel'!$C$92,'Control Panel'!$B$30))^MAX(0,(1-'Control Panel'!$F$51)/2)*0.5</f>
        <v/>
      </c>
      <c r="E36" s="247">
        <f>'Control Panel'!$B$16*'Control Panel'!$B$7*'Control Panel'!C51*1000000*IF('Control Panel'!$B$100=1,'Control Panel'!D$99,'Control Panel'!$B$28)*'Control Panel'!$B$42*'Control Panel'!$C$42*'Control Panel'!D$58*(1+IF('Control Panel'!$D$92=1,'Control Panel'!$C$92,'Control Panel'!$B$30))^MAX(0,(2-'Control Panel'!$F$51)/2)*0.5</f>
        <v/>
      </c>
      <c r="F36" s="247">
        <f>'Control Panel'!$B$16*'Control Panel'!$B$7*'Control Panel'!C51*1000000*IF('Control Panel'!$B$100=1,'Control Panel'!E$99,'Control Panel'!$B$28)*'Control Panel'!$B$42*'Control Panel'!$C$42*'Control Panel'!E$58*(1+IF('Control Panel'!$D$92=1,'Control Panel'!$C$92,'Control Panel'!$B$30))^MAX(0,(3-'Control Panel'!$F$51)/2)*0.5</f>
        <v/>
      </c>
      <c r="G36" s="247">
        <f>'Control Panel'!$B$16*'Control Panel'!$B$7*'Control Panel'!C51*1000000*IF('Control Panel'!$B$100=1,'Control Panel'!F$99,'Control Panel'!$B$28)*'Control Panel'!$B$42*'Control Panel'!$C$42*'Control Panel'!F$58*(1+IF('Control Panel'!$D$92=1,'Control Panel'!$C$92,'Control Panel'!$B$30))^MAX(0,(4-'Control Panel'!$F$51)/2)*0.5</f>
        <v/>
      </c>
      <c r="H36" s="247">
        <f>'Control Panel'!$B$16*'Control Panel'!$B$7*'Control Panel'!C51*1000000*IF('Control Panel'!$B$100=1,'Control Panel'!G$99,'Control Panel'!$B$28)*'Control Panel'!$B$42*'Control Panel'!$C$42*'Control Panel'!G$58*(1+IF('Control Panel'!$D$92=1,'Control Panel'!$C$92,'Control Panel'!$B$30))^MAX(0,(5-'Control Panel'!$F$51)/2)*0.5</f>
        <v/>
      </c>
      <c r="I36" s="247">
        <f>'Control Panel'!$B$16*'Control Panel'!$B$7*'Control Panel'!C51*1000000*IF('Control Panel'!$B$100=1,'Control Panel'!H$99,'Control Panel'!$B$28)*'Control Panel'!$B$42*'Control Panel'!$C$42*'Control Panel'!H$58*(1+IF('Control Panel'!$D$92=1,'Control Panel'!$C$92,'Control Panel'!$B$30))^MAX(0,(6-'Control Panel'!$F$51)/2)*0.5</f>
        <v/>
      </c>
      <c r="J36" s="247">
        <f>'Control Panel'!$B$16*'Control Panel'!$B$7*'Control Panel'!C51*1000000*IF('Control Panel'!$B$100=1,'Control Panel'!I$99,'Control Panel'!$B$28)*'Control Panel'!$B$42*'Control Panel'!$C$42*'Control Panel'!I$58*(1+IF('Control Panel'!$D$92=1,'Control Panel'!$C$92,'Control Panel'!$B$30))^MAX(0,(7-'Control Panel'!$F$51)/2)*0.5</f>
        <v/>
      </c>
      <c r="K36" s="247">
        <f>'Control Panel'!$B$16*'Control Panel'!$B$7*'Control Panel'!C51*1000000*IF('Control Panel'!$B$100=1,'Control Panel'!J$99,'Control Panel'!$B$28)*'Control Panel'!$B$42*'Control Panel'!$C$42*'Control Panel'!J$58*(1+IF('Control Panel'!$D$92=1,'Control Panel'!$C$92,'Control Panel'!$B$30))^MAX(0,(8-'Control Panel'!$F$51)/2)*0.5</f>
        <v/>
      </c>
      <c r="L36" s="247">
        <f>'Control Panel'!$B$16*'Control Panel'!$B$7*'Control Panel'!C51*1000000*IF('Control Panel'!$B$100=1,'Control Panel'!K$99,'Control Panel'!$B$28)*'Control Panel'!$B$42*'Control Panel'!$C$42*'Control Panel'!K$58*(1+IF('Control Panel'!$D$92=1,'Control Panel'!$C$92,'Control Panel'!$B$30))^MAX(0,(9-'Control Panel'!$F$51)/2)*0.5</f>
        <v/>
      </c>
      <c r="M36" s="247">
        <f>'Control Panel'!$B$16*'Control Panel'!$B$7*'Control Panel'!C51*1000000*IF('Control Panel'!$B$100=1,'Control Panel'!L$99,'Control Panel'!$B$28)*'Control Panel'!$B$42*'Control Panel'!$C$42*'Control Panel'!L$58*(1+IF('Control Panel'!$D$92=1,'Control Panel'!$C$92,'Control Panel'!$B$30))^MAX(0,(10-'Control Panel'!$F$51)/2)*0.5</f>
        <v/>
      </c>
      <c r="N36" s="247">
        <f>SUM(C36:M36)</f>
        <v/>
      </c>
    </row>
    <row r="37" ht="15" customHeight="1" s="133">
      <c r="A37" s="177" t="inlineStr">
        <is>
          <t xml:space="preserve"> Trading (5 bps, 100%)</t>
        </is>
      </c>
      <c r="B37" s="176" t="inlineStr">
        <is>
          <t>H1 2029</t>
        </is>
      </c>
      <c r="C37" s="247">
        <f>'Control Panel'!$B$16*'Control Panel'!$B$8*'Control Panel'!C51*1000000*IF('Control Panel'!$B$100=1,'Control Panel'!B$99,'Control Panel'!$B$28)*'Control Panel'!$B$62*'Control Panel'!$B$43*'Control Panel'!$C$43*'Control Panel'!B$58*(1+IF('Control Panel'!$D$92=1,'Control Panel'!$C$92,'Control Panel'!$B$30))^MAX(0,(0-'Control Panel'!$F$51)/2)*0.5</f>
        <v/>
      </c>
      <c r="D37" s="247">
        <f>'Control Panel'!$B$16*'Control Panel'!$B$8*'Control Panel'!C51*1000000*IF('Control Panel'!$B$100=1,'Control Panel'!C$99,'Control Panel'!$B$28)*'Control Panel'!$B$62*'Control Panel'!$B$43*'Control Panel'!$C$43*'Control Panel'!C$58*(1+IF('Control Panel'!$D$92=1,'Control Panel'!$C$92,'Control Panel'!$B$30))^MAX(0,(1-'Control Panel'!$F$51)/2)*0.5</f>
        <v/>
      </c>
      <c r="E37" s="247">
        <f>'Control Panel'!$B$16*'Control Panel'!$B$8*'Control Panel'!C51*1000000*IF('Control Panel'!$B$100=1,'Control Panel'!D$99,'Control Panel'!$B$28)*'Control Panel'!$B$62*'Control Panel'!$B$43*'Control Panel'!$C$43*'Control Panel'!D$58*(1+IF('Control Panel'!$D$92=1,'Control Panel'!$C$92,'Control Panel'!$B$30))^MAX(0,(2-'Control Panel'!$F$51)/2)*0.5</f>
        <v/>
      </c>
      <c r="F37" s="247">
        <f>'Control Panel'!$B$16*'Control Panel'!$B$8*'Control Panel'!C51*1000000*IF('Control Panel'!$B$100=1,'Control Panel'!E$99,'Control Panel'!$B$28)*'Control Panel'!$B$62*'Control Panel'!$B$43*'Control Panel'!$C$43*'Control Panel'!E$58*(1+IF('Control Panel'!$D$92=1,'Control Panel'!$C$92,'Control Panel'!$B$30))^MAX(0,(3-'Control Panel'!$F$51)/2)*0.5</f>
        <v/>
      </c>
      <c r="G37" s="247">
        <f>'Control Panel'!$B$16*'Control Panel'!$B$8*'Control Panel'!C51*1000000*IF('Control Panel'!$B$100=1,'Control Panel'!F$99,'Control Panel'!$B$28)*'Control Panel'!$B$62*'Control Panel'!$B$43*'Control Panel'!$C$43*'Control Panel'!F$58*(1+IF('Control Panel'!$D$92=1,'Control Panel'!$C$92,'Control Panel'!$B$30))^MAX(0,(4-'Control Panel'!$F$51)/2)*0.5</f>
        <v/>
      </c>
      <c r="H37" s="247">
        <f>'Control Panel'!$B$16*'Control Panel'!$B$8*'Control Panel'!C51*1000000*IF('Control Panel'!$B$100=1,'Control Panel'!G$99,'Control Panel'!$B$28)*'Control Panel'!$B$62*'Control Panel'!$B$43*'Control Panel'!$C$43*'Control Panel'!G$58*(1+IF('Control Panel'!$D$92=1,'Control Panel'!$C$92,'Control Panel'!$B$30))^MAX(0,(5-'Control Panel'!$F$51)/2)*0.5</f>
        <v/>
      </c>
      <c r="I37" s="247">
        <f>'Control Panel'!$B$16*'Control Panel'!$B$8*'Control Panel'!C51*1000000*IF('Control Panel'!$B$100=1,'Control Panel'!H$99,'Control Panel'!$B$28)*'Control Panel'!$B$62*'Control Panel'!$B$43*'Control Panel'!$C$43*'Control Panel'!H$58*(1+IF('Control Panel'!$D$92=1,'Control Panel'!$C$92,'Control Panel'!$B$30))^MAX(0,(6-'Control Panel'!$F$51)/2)*0.5</f>
        <v/>
      </c>
      <c r="J37" s="247">
        <f>'Control Panel'!$B$16*'Control Panel'!$B$8*'Control Panel'!C51*1000000*IF('Control Panel'!$B$100=1,'Control Panel'!I$99,'Control Panel'!$B$28)*'Control Panel'!$B$62*'Control Panel'!$B$43*'Control Panel'!$C$43*'Control Panel'!I$58*(1+IF('Control Panel'!$D$92=1,'Control Panel'!$C$92,'Control Panel'!$B$30))^MAX(0,(7-'Control Panel'!$F$51)/2)*0.5</f>
        <v/>
      </c>
      <c r="K37" s="247">
        <f>'Control Panel'!$B$16*'Control Panel'!$B$8*'Control Panel'!C51*1000000*IF('Control Panel'!$B$100=1,'Control Panel'!J$99,'Control Panel'!$B$28)*'Control Panel'!$B$62*'Control Panel'!$B$43*'Control Panel'!$C$43*'Control Panel'!J$58*(1+IF('Control Panel'!$D$92=1,'Control Panel'!$C$92,'Control Panel'!$B$30))^MAX(0,(8-'Control Panel'!$F$51)/2)*0.5</f>
        <v/>
      </c>
      <c r="L37" s="247">
        <f>'Control Panel'!$B$16*'Control Panel'!$B$8*'Control Panel'!C51*1000000*IF('Control Panel'!$B$100=1,'Control Panel'!K$99,'Control Panel'!$B$28)*'Control Panel'!$B$62*'Control Panel'!$B$43*'Control Panel'!$C$43*'Control Panel'!K$58*(1+IF('Control Panel'!$D$92=1,'Control Panel'!$C$92,'Control Panel'!$B$30))^MAX(0,(9-'Control Panel'!$F$51)/2)*0.5</f>
        <v/>
      </c>
      <c r="M37" s="247">
        <f>'Control Panel'!$B$16*'Control Panel'!$B$8*'Control Panel'!C51*1000000*IF('Control Panel'!$B$100=1,'Control Panel'!L$99,'Control Panel'!$B$28)*'Control Panel'!$B$62*'Control Panel'!$B$43*'Control Panel'!$C$43*'Control Panel'!L$58*(1+IF('Control Panel'!$D$92=1,'Control Panel'!$C$92,'Control Panel'!$B$30))^MAX(0,(10-'Control Panel'!$F$51)/2)*0.5</f>
        <v/>
      </c>
      <c r="N37" s="247">
        <f>SUM(C37:M37)</f>
        <v/>
      </c>
    </row>
    <row r="38" ht="15" customHeight="1" s="133">
      <c r="A38" s="177" t="inlineStr">
        <is>
          <t xml:space="preserve"> Custody (30 bps, 40%)</t>
        </is>
      </c>
      <c r="B38" s="176" t="inlineStr">
        <is>
          <t>H1 2029</t>
        </is>
      </c>
      <c r="C38" s="247">
        <f>'Control Panel'!$B$16*'Control Panel'!$B$9*'Control Panel'!D51*1000000*IF('Control Panel'!$B$100=1,'Control Panel'!B$99,'Control Panel'!$B$28)*'Control Panel'!$B$44*'Control Panel'!$C$44*'Control Panel'!B$58*(1+IF('Control Panel'!$D$92=1,'Control Panel'!$C$92,'Control Panel'!$B$30))^MAX(0,(0-'Control Panel'!$F$51)/2)*0.5</f>
        <v/>
      </c>
      <c r="D38" s="247">
        <f>'Control Panel'!$B$16*'Control Panel'!$B$9*'Control Panel'!D51*1000000*IF('Control Panel'!$B$100=1,'Control Panel'!C$99,'Control Panel'!$B$28)*'Control Panel'!$B$44*'Control Panel'!$C$44*'Control Panel'!C$58*(1+IF('Control Panel'!$D$92=1,'Control Panel'!$C$92,'Control Panel'!$B$30))^MAX(0,(1-'Control Panel'!$F$51)/2)*0.5</f>
        <v/>
      </c>
      <c r="E38" s="247">
        <f>'Control Panel'!$B$16*'Control Panel'!$B$9*'Control Panel'!D51*1000000*IF('Control Panel'!$B$100=1,'Control Panel'!D$99,'Control Panel'!$B$28)*'Control Panel'!$B$44*'Control Panel'!$C$44*'Control Panel'!D$58*(1+IF('Control Panel'!$D$92=1,'Control Panel'!$C$92,'Control Panel'!$B$30))^MAX(0,(2-'Control Panel'!$F$51)/2)*0.5</f>
        <v/>
      </c>
      <c r="F38" s="247">
        <f>'Control Panel'!$B$16*'Control Panel'!$B$9*'Control Panel'!D51*1000000*IF('Control Panel'!$B$100=1,'Control Panel'!E$99,'Control Panel'!$B$28)*'Control Panel'!$B$44*'Control Panel'!$C$44*'Control Panel'!E$58*(1+IF('Control Panel'!$D$92=1,'Control Panel'!$C$92,'Control Panel'!$B$30))^MAX(0,(3-'Control Panel'!$F$51)/2)*0.5</f>
        <v/>
      </c>
      <c r="G38" s="247">
        <f>'Control Panel'!$B$16*'Control Panel'!$B$9*'Control Panel'!D51*1000000*IF('Control Panel'!$B$100=1,'Control Panel'!F$99,'Control Panel'!$B$28)*'Control Panel'!$B$44*'Control Panel'!$C$44*'Control Panel'!F$58*(1+IF('Control Panel'!$D$92=1,'Control Panel'!$C$92,'Control Panel'!$B$30))^MAX(0,(4-'Control Panel'!$F$51)/2)*0.5</f>
        <v/>
      </c>
      <c r="H38" s="247">
        <f>'Control Panel'!$B$16*'Control Panel'!$B$9*'Control Panel'!D51*1000000*IF('Control Panel'!$B$100=1,'Control Panel'!G$99,'Control Panel'!$B$28)*'Control Panel'!$B$44*'Control Panel'!$C$44*'Control Panel'!G$58*(1+IF('Control Panel'!$D$92=1,'Control Panel'!$C$92,'Control Panel'!$B$30))^MAX(0,(5-'Control Panel'!$F$51)/2)*0.5</f>
        <v/>
      </c>
      <c r="I38" s="247">
        <f>'Control Panel'!$B$16*'Control Panel'!$B$9*'Control Panel'!D51*1000000*IF('Control Panel'!$B$100=1,'Control Panel'!H$99,'Control Panel'!$B$28)*'Control Panel'!$B$44*'Control Panel'!$C$44*'Control Panel'!H$58*(1+IF('Control Panel'!$D$92=1,'Control Panel'!$C$92,'Control Panel'!$B$30))^MAX(0,(6-'Control Panel'!$F$51)/2)*0.5</f>
        <v/>
      </c>
      <c r="J38" s="247">
        <f>'Control Panel'!$B$16*'Control Panel'!$B$9*'Control Panel'!D51*1000000*IF('Control Panel'!$B$100=1,'Control Panel'!I$99,'Control Panel'!$B$28)*'Control Panel'!$B$44*'Control Panel'!$C$44*'Control Panel'!I$58*(1+IF('Control Panel'!$D$92=1,'Control Panel'!$C$92,'Control Panel'!$B$30))^MAX(0,(7-'Control Panel'!$F$51)/2)*0.5</f>
        <v/>
      </c>
      <c r="K38" s="247">
        <f>'Control Panel'!$B$16*'Control Panel'!$B$9*'Control Panel'!D51*1000000*IF('Control Panel'!$B$100=1,'Control Panel'!J$99,'Control Panel'!$B$28)*'Control Panel'!$B$44*'Control Panel'!$C$44*'Control Panel'!J$58*(1+IF('Control Panel'!$D$92=1,'Control Panel'!$C$92,'Control Panel'!$B$30))^MAX(0,(8-'Control Panel'!$F$51)/2)*0.5</f>
        <v/>
      </c>
      <c r="L38" s="247">
        <f>'Control Panel'!$B$16*'Control Panel'!$B$9*'Control Panel'!D51*1000000*IF('Control Panel'!$B$100=1,'Control Panel'!K$99,'Control Panel'!$B$28)*'Control Panel'!$B$44*'Control Panel'!$C$44*'Control Panel'!K$58*(1+IF('Control Panel'!$D$92=1,'Control Panel'!$C$92,'Control Panel'!$B$30))^MAX(0,(9-'Control Panel'!$F$51)/2)*0.5</f>
        <v/>
      </c>
      <c r="M38" s="247">
        <f>'Control Panel'!$B$16*'Control Panel'!$B$9*'Control Panel'!D51*1000000*IF('Control Panel'!$B$100=1,'Control Panel'!L$99,'Control Panel'!$B$28)*'Control Panel'!$B$44*'Control Panel'!$C$44*'Control Panel'!L$58*(1+IF('Control Panel'!$D$92=1,'Control Panel'!$C$92,'Control Panel'!$B$30))^MAX(0,(10-'Control Panel'!$F$51)/2)*0.5</f>
        <v/>
      </c>
      <c r="N38" s="247">
        <f>SUM(C38:M38)</f>
        <v/>
      </c>
    </row>
    <row r="39" ht="15" customHeight="1" s="133">
      <c r="A39" s="177" t="inlineStr">
        <is>
          <t xml:space="preserve"> SaaS + APIs (80%)</t>
        </is>
      </c>
      <c r="B39" s="176" t="inlineStr">
        <is>
          <t>H1 2029</t>
        </is>
      </c>
      <c r="C39" s="247">
        <f>'Control Panel'!$B$16*'Control Panel'!$B$10*'Control Panel'!E51*'Control Panel'!$B$45*'Control Panel'!$C$45*'Control Panel'!B$58*0.5</f>
        <v/>
      </c>
      <c r="D39" s="247">
        <f>'Control Panel'!$B$16*'Control Panel'!$B$10*'Control Panel'!E51*'Control Panel'!$B$45*'Control Panel'!$C$45*'Control Panel'!C$58*0.5</f>
        <v/>
      </c>
      <c r="E39" s="247">
        <f>'Control Panel'!$B$16*'Control Panel'!$B$10*'Control Panel'!E51*'Control Panel'!$B$45*'Control Panel'!$C$45*'Control Panel'!D$58*0.5</f>
        <v/>
      </c>
      <c r="F39" s="247">
        <f>'Control Panel'!$B$16*'Control Panel'!$B$10*'Control Panel'!E51*'Control Panel'!$B$45*'Control Panel'!$C$45*'Control Panel'!E$58*0.5</f>
        <v/>
      </c>
      <c r="G39" s="247">
        <f>'Control Panel'!$B$16*'Control Panel'!$B$10*'Control Panel'!E51*'Control Panel'!$B$45*'Control Panel'!$C$45*'Control Panel'!F$58*0.5</f>
        <v/>
      </c>
      <c r="H39" s="247">
        <f>'Control Panel'!$B$16*'Control Panel'!$B$10*'Control Panel'!E51*'Control Panel'!$B$45*'Control Panel'!$C$45*'Control Panel'!G$58*0.5</f>
        <v/>
      </c>
      <c r="I39" s="247">
        <f>'Control Panel'!$B$16*'Control Panel'!$B$10*'Control Panel'!E51*'Control Panel'!$B$45*'Control Panel'!$C$45*'Control Panel'!H$58*0.5</f>
        <v/>
      </c>
      <c r="J39" s="247">
        <f>'Control Panel'!$B$16*'Control Panel'!$B$10*'Control Panel'!E51*'Control Panel'!$B$45*'Control Panel'!$C$45*'Control Panel'!I$58*0.5</f>
        <v/>
      </c>
      <c r="K39" s="247">
        <f>'Control Panel'!$B$16*'Control Panel'!$B$10*'Control Panel'!E51*'Control Panel'!$B$45*'Control Panel'!$C$45*'Control Panel'!J$58*0.5</f>
        <v/>
      </c>
      <c r="L39" s="247">
        <f>'Control Panel'!$B$16*'Control Panel'!$B$10*'Control Panel'!E51*'Control Panel'!$B$45*'Control Panel'!$C$45*'Control Panel'!K$58*0.5</f>
        <v/>
      </c>
      <c r="M39" s="247">
        <f>'Control Panel'!$B$16*'Control Panel'!$B$10*'Control Panel'!E51*'Control Panel'!$B$45*'Control Panel'!$C$45*'Control Panel'!L$58*0.5</f>
        <v/>
      </c>
      <c r="N39" s="247">
        <f>SUM(C39:M39)</f>
        <v/>
      </c>
    </row>
    <row r="40" ht="15" customHeight="1" s="133">
      <c r="A40" s="316" t="inlineStr">
        <is>
          <t>VANCITY CU SUBTOTAL</t>
        </is>
      </c>
      <c r="B40" s="317" t="inlineStr">
        <is>
          <t>H1 2029</t>
        </is>
      </c>
      <c r="C40" s="318">
        <f>C35+C36+C37+C38+C39</f>
        <v/>
      </c>
      <c r="D40" s="318">
        <f>D35+D36+D37+D38+D39</f>
        <v/>
      </c>
      <c r="E40" s="318">
        <f>E35+E36+E37+E38+E39</f>
        <v/>
      </c>
      <c r="F40" s="318">
        <f>F35+F36+F37+F38+F39</f>
        <v/>
      </c>
      <c r="G40" s="318">
        <f>G35+G36+G37+G38+G39</f>
        <v/>
      </c>
      <c r="H40" s="318">
        <f>H35+H36+H37+H38+H39</f>
        <v/>
      </c>
      <c r="I40" s="318">
        <f>I35+I36+I37+I38+I39</f>
        <v/>
      </c>
      <c r="J40" s="318">
        <f>J35+J36+J37+J38+J39</f>
        <v/>
      </c>
      <c r="K40" s="318">
        <f>K35+K36+K37+K38+K39</f>
        <v/>
      </c>
      <c r="L40" s="318">
        <f>L35+L36+L37+L38+L39</f>
        <v/>
      </c>
      <c r="M40" s="318">
        <f>M35+M36+M37+M38+M39</f>
        <v/>
      </c>
      <c r="N40" s="318">
        <f>SUM(C40:M40)</f>
        <v/>
      </c>
    </row>
    <row r="41" ht="15" customHeight="1" s="133">
      <c r="A41" s="315" t="inlineStr">
        <is>
          <t>SERVUS CREDIT UNION ($29.3B assets)</t>
        </is>
      </c>
      <c r="B41" s="145" t="n"/>
      <c r="C41" s="145" t="n"/>
      <c r="D41" s="145" t="n"/>
      <c r="E41" s="145" t="n"/>
      <c r="F41" s="145" t="n"/>
      <c r="G41" s="145" t="n"/>
      <c r="H41" s="145" t="n"/>
      <c r="I41" s="145" t="n"/>
      <c r="J41" s="145" t="n"/>
      <c r="K41" s="145" t="n"/>
      <c r="L41" s="145" t="n"/>
      <c r="M41" s="145" t="n"/>
      <c r="N41" s="145" t="n"/>
    </row>
    <row r="42" ht="15" customHeight="1" s="133">
      <c r="A42" s="177" t="inlineStr">
        <is>
          <t xml:space="preserve"> Settlement (1.5 bps, 30%)</t>
        </is>
      </c>
      <c r="B42" s="176" t="inlineStr">
        <is>
          <t>H1 2029</t>
        </is>
      </c>
      <c r="C42" s="247">
        <f>'Control Panel'!$B$17*'Control Panel'!$B$6*'Control Panel'!B52*1000000*'Control Panel'!$B$29*IF('Control Panel'!$B$100=1,'Control Panel'!B$98,'Control Panel'!$B$27)*'Control Panel'!$B$41*'Control Panel'!$C$41*'Control Panel'!B$59*(1+IF('Control Panel'!$D$93=1,'Control Panel'!$C$93,'Control Panel'!$B$30))^MAX(0,(0-'Control Panel'!$F$52)/2)*0.5</f>
        <v/>
      </c>
      <c r="D42" s="247">
        <f>'Control Panel'!$B$17*'Control Panel'!$B$6*'Control Panel'!B52*1000000*'Control Panel'!$B$29*IF('Control Panel'!$B$100=1,'Control Panel'!C$98,'Control Panel'!$B$27)*'Control Panel'!$B$41*'Control Panel'!$C$41*'Control Panel'!C$59*(1+IF('Control Panel'!$D$93=1,'Control Panel'!$C$93,'Control Panel'!$B$30))^MAX(0,(1-'Control Panel'!$F$52)/2)*0.5</f>
        <v/>
      </c>
      <c r="E42" s="247">
        <f>'Control Panel'!$B$17*'Control Panel'!$B$6*'Control Panel'!B52*1000000*'Control Panel'!$B$29*IF('Control Panel'!$B$100=1,'Control Panel'!D$98,'Control Panel'!$B$27)*'Control Panel'!$B$41*'Control Panel'!$C$41*'Control Panel'!D$59*(1+IF('Control Panel'!$D$93=1,'Control Panel'!$C$93,'Control Panel'!$B$30))^MAX(0,(2-'Control Panel'!$F$52)/2)*0.5</f>
        <v/>
      </c>
      <c r="F42" s="247">
        <f>'Control Panel'!$B$17*'Control Panel'!$B$6*'Control Panel'!B52*1000000*'Control Panel'!$B$29*IF('Control Panel'!$B$100=1,'Control Panel'!E$98,'Control Panel'!$B$27)*'Control Panel'!$B$41*'Control Panel'!$C$41*'Control Panel'!E$59*(1+IF('Control Panel'!$D$93=1,'Control Panel'!$C$93,'Control Panel'!$B$30))^MAX(0,(3-'Control Panel'!$F$52)/2)*0.5</f>
        <v/>
      </c>
      <c r="G42" s="247">
        <f>'Control Panel'!$B$17*'Control Panel'!$B$6*'Control Panel'!B52*1000000*'Control Panel'!$B$29*IF('Control Panel'!$B$100=1,'Control Panel'!F$98,'Control Panel'!$B$27)*'Control Panel'!$B$41*'Control Panel'!$C$41*'Control Panel'!F$59*(1+IF('Control Panel'!$D$93=1,'Control Panel'!$C$93,'Control Panel'!$B$30))^MAX(0,(4-'Control Panel'!$F$52)/2)*0.5</f>
        <v/>
      </c>
      <c r="H42" s="247">
        <f>'Control Panel'!$B$17*'Control Panel'!$B$6*'Control Panel'!B52*1000000*'Control Panel'!$B$29*IF('Control Panel'!$B$100=1,'Control Panel'!G$98,'Control Panel'!$B$27)*'Control Panel'!$B$41*'Control Panel'!$C$41*'Control Panel'!G$59*(1+IF('Control Panel'!$D$93=1,'Control Panel'!$C$93,'Control Panel'!$B$30))^MAX(0,(5-'Control Panel'!$F$52)/2)*0.5</f>
        <v/>
      </c>
      <c r="I42" s="247">
        <f>'Control Panel'!$B$17*'Control Panel'!$B$6*'Control Panel'!B52*1000000*'Control Panel'!$B$29*IF('Control Panel'!$B$100=1,'Control Panel'!H$98,'Control Panel'!$B$27)*'Control Panel'!$B$41*'Control Panel'!$C$41*'Control Panel'!H$59*(1+IF('Control Panel'!$D$93=1,'Control Panel'!$C$93,'Control Panel'!$B$30))^MAX(0,(6-'Control Panel'!$F$52)/2)*0.5</f>
        <v/>
      </c>
      <c r="J42" s="247">
        <f>'Control Panel'!$B$17*'Control Panel'!$B$6*'Control Panel'!B52*1000000*'Control Panel'!$B$29*IF('Control Panel'!$B$100=1,'Control Panel'!I$98,'Control Panel'!$B$27)*'Control Panel'!$B$41*'Control Panel'!$C$41*'Control Panel'!I$59*(1+IF('Control Panel'!$D$93=1,'Control Panel'!$C$93,'Control Panel'!$B$30))^MAX(0,(7-'Control Panel'!$F$52)/2)*0.5</f>
        <v/>
      </c>
      <c r="K42" s="247">
        <f>'Control Panel'!$B$17*'Control Panel'!$B$6*'Control Panel'!B52*1000000*'Control Panel'!$B$29*IF('Control Panel'!$B$100=1,'Control Panel'!J$98,'Control Panel'!$B$27)*'Control Panel'!$B$41*'Control Panel'!$C$41*'Control Panel'!J$59*(1+IF('Control Panel'!$D$93=1,'Control Panel'!$C$93,'Control Panel'!$B$30))^MAX(0,(8-'Control Panel'!$F$52)/2)*0.5</f>
        <v/>
      </c>
      <c r="L42" s="247">
        <f>'Control Panel'!$B$17*'Control Panel'!$B$6*'Control Panel'!B52*1000000*'Control Panel'!$B$29*IF('Control Panel'!$B$100=1,'Control Panel'!K$98,'Control Panel'!$B$27)*'Control Panel'!$B$41*'Control Panel'!$C$41*'Control Panel'!K$59*(1+IF('Control Panel'!$D$93=1,'Control Panel'!$C$93,'Control Panel'!$B$30))^MAX(0,(9-'Control Panel'!$F$52)/2)*0.5</f>
        <v/>
      </c>
      <c r="M42" s="247">
        <f>'Control Panel'!$B$17*'Control Panel'!$B$6*'Control Panel'!B52*1000000*'Control Panel'!$B$29*IF('Control Panel'!$B$100=1,'Control Panel'!L$98,'Control Panel'!$B$27)*'Control Panel'!$B$41*'Control Panel'!$C$41*'Control Panel'!L$59*(1+IF('Control Panel'!$D$93=1,'Control Panel'!$C$93,'Control Panel'!$B$30))^MAX(0,(10-'Control Panel'!$F$52)/2)*0.5</f>
        <v/>
      </c>
      <c r="N42" s="247">
        <f>SUM(C42:M42)</f>
        <v/>
      </c>
    </row>
    <row r="43" ht="15" customHeight="1" s="133">
      <c r="A43" s="177" t="inlineStr">
        <is>
          <t xml:space="preserve"> Issuance (0.5%, 60%)</t>
        </is>
      </c>
      <c r="B43" s="176" t="inlineStr">
        <is>
          <t>H1 2029</t>
        </is>
      </c>
      <c r="C43" s="247">
        <f>'Control Panel'!$B$17*'Control Panel'!$B$7*'Control Panel'!C52*1000000*IF('Control Panel'!$B$100=1,'Control Panel'!B$99,'Control Panel'!$B$28)*'Control Panel'!$B$42*'Control Panel'!$C$42*'Control Panel'!B$59*(1+IF('Control Panel'!$D$93=1,'Control Panel'!$C$93,'Control Panel'!$B$30))^MAX(0,(0-'Control Panel'!$F$52)/2)*0.5</f>
        <v/>
      </c>
      <c r="D43" s="247">
        <f>'Control Panel'!$B$17*'Control Panel'!$B$7*'Control Panel'!C52*1000000*IF('Control Panel'!$B$100=1,'Control Panel'!C$99,'Control Panel'!$B$28)*'Control Panel'!$B$42*'Control Panel'!$C$42*'Control Panel'!C$59*(1+IF('Control Panel'!$D$93=1,'Control Panel'!$C$93,'Control Panel'!$B$30))^MAX(0,(1-'Control Panel'!$F$52)/2)*0.5</f>
        <v/>
      </c>
      <c r="E43" s="247">
        <f>'Control Panel'!$B$17*'Control Panel'!$B$7*'Control Panel'!C52*1000000*IF('Control Panel'!$B$100=1,'Control Panel'!D$99,'Control Panel'!$B$28)*'Control Panel'!$B$42*'Control Panel'!$C$42*'Control Panel'!D$59*(1+IF('Control Panel'!$D$93=1,'Control Panel'!$C$93,'Control Panel'!$B$30))^MAX(0,(2-'Control Panel'!$F$52)/2)*0.5</f>
        <v/>
      </c>
      <c r="F43" s="247">
        <f>'Control Panel'!$B$17*'Control Panel'!$B$7*'Control Panel'!C52*1000000*IF('Control Panel'!$B$100=1,'Control Panel'!E$99,'Control Panel'!$B$28)*'Control Panel'!$B$42*'Control Panel'!$C$42*'Control Panel'!E$59*(1+IF('Control Panel'!$D$93=1,'Control Panel'!$C$93,'Control Panel'!$B$30))^MAX(0,(3-'Control Panel'!$F$52)/2)*0.5</f>
        <v/>
      </c>
      <c r="G43" s="247">
        <f>'Control Panel'!$B$17*'Control Panel'!$B$7*'Control Panel'!C52*1000000*IF('Control Panel'!$B$100=1,'Control Panel'!F$99,'Control Panel'!$B$28)*'Control Panel'!$B$42*'Control Panel'!$C$42*'Control Panel'!F$59*(1+IF('Control Panel'!$D$93=1,'Control Panel'!$C$93,'Control Panel'!$B$30))^MAX(0,(4-'Control Panel'!$F$52)/2)*0.5</f>
        <v/>
      </c>
      <c r="H43" s="247">
        <f>'Control Panel'!$B$17*'Control Panel'!$B$7*'Control Panel'!C52*1000000*IF('Control Panel'!$B$100=1,'Control Panel'!G$99,'Control Panel'!$B$28)*'Control Panel'!$B$42*'Control Panel'!$C$42*'Control Panel'!G$59*(1+IF('Control Panel'!$D$93=1,'Control Panel'!$C$93,'Control Panel'!$B$30))^MAX(0,(5-'Control Panel'!$F$52)/2)*0.5</f>
        <v/>
      </c>
      <c r="I43" s="247">
        <f>'Control Panel'!$B$17*'Control Panel'!$B$7*'Control Panel'!C52*1000000*IF('Control Panel'!$B$100=1,'Control Panel'!H$99,'Control Panel'!$B$28)*'Control Panel'!$B$42*'Control Panel'!$C$42*'Control Panel'!H$59*(1+IF('Control Panel'!$D$93=1,'Control Panel'!$C$93,'Control Panel'!$B$30))^MAX(0,(6-'Control Panel'!$F$52)/2)*0.5</f>
        <v/>
      </c>
      <c r="J43" s="247">
        <f>'Control Panel'!$B$17*'Control Panel'!$B$7*'Control Panel'!C52*1000000*IF('Control Panel'!$B$100=1,'Control Panel'!I$99,'Control Panel'!$B$28)*'Control Panel'!$B$42*'Control Panel'!$C$42*'Control Panel'!I$59*(1+IF('Control Panel'!$D$93=1,'Control Panel'!$C$93,'Control Panel'!$B$30))^MAX(0,(7-'Control Panel'!$F$52)/2)*0.5</f>
        <v/>
      </c>
      <c r="K43" s="247">
        <f>'Control Panel'!$B$17*'Control Panel'!$B$7*'Control Panel'!C52*1000000*IF('Control Panel'!$B$100=1,'Control Panel'!J$99,'Control Panel'!$B$28)*'Control Panel'!$B$42*'Control Panel'!$C$42*'Control Panel'!J$59*(1+IF('Control Panel'!$D$93=1,'Control Panel'!$C$93,'Control Panel'!$B$30))^MAX(0,(8-'Control Panel'!$F$52)/2)*0.5</f>
        <v/>
      </c>
      <c r="L43" s="247">
        <f>'Control Panel'!$B$17*'Control Panel'!$B$7*'Control Panel'!C52*1000000*IF('Control Panel'!$B$100=1,'Control Panel'!K$99,'Control Panel'!$B$28)*'Control Panel'!$B$42*'Control Panel'!$C$42*'Control Panel'!K$59*(1+IF('Control Panel'!$D$93=1,'Control Panel'!$C$93,'Control Panel'!$B$30))^MAX(0,(9-'Control Panel'!$F$52)/2)*0.5</f>
        <v/>
      </c>
      <c r="M43" s="247">
        <f>'Control Panel'!$B$17*'Control Panel'!$B$7*'Control Panel'!C52*1000000*IF('Control Panel'!$B$100=1,'Control Panel'!L$99,'Control Panel'!$B$28)*'Control Panel'!$B$42*'Control Panel'!$C$42*'Control Panel'!L$59*(1+IF('Control Panel'!$D$93=1,'Control Panel'!$C$93,'Control Panel'!$B$30))^MAX(0,(10-'Control Panel'!$F$52)/2)*0.5</f>
        <v/>
      </c>
      <c r="N43" s="247">
        <f>SUM(C43:M43)</f>
        <v/>
      </c>
    </row>
    <row r="44" ht="15" customHeight="1" s="133">
      <c r="A44" s="177" t="inlineStr">
        <is>
          <t xml:space="preserve"> Trading (5 bps, 100%)</t>
        </is>
      </c>
      <c r="B44" s="176" t="inlineStr">
        <is>
          <t>H1 2029</t>
        </is>
      </c>
      <c r="C44" s="247">
        <f>'Control Panel'!$B$17*'Control Panel'!$B$8*'Control Panel'!C52*1000000*IF('Control Panel'!$B$100=1,'Control Panel'!B$99,'Control Panel'!$B$28)*'Control Panel'!$B$62*'Control Panel'!$B$43*'Control Panel'!$C$43*'Control Panel'!B$59*(1+IF('Control Panel'!$D$93=1,'Control Panel'!$C$93,'Control Panel'!$B$30))^MAX(0,(0-'Control Panel'!$F$52)/2)*0.5</f>
        <v/>
      </c>
      <c r="D44" s="247">
        <f>'Control Panel'!$B$17*'Control Panel'!$B$8*'Control Panel'!C52*1000000*IF('Control Panel'!$B$100=1,'Control Panel'!C$99,'Control Panel'!$B$28)*'Control Panel'!$B$62*'Control Panel'!$B$43*'Control Panel'!$C$43*'Control Panel'!C$59*(1+IF('Control Panel'!$D$93=1,'Control Panel'!$C$93,'Control Panel'!$B$30))^MAX(0,(1-'Control Panel'!$F$52)/2)*0.5</f>
        <v/>
      </c>
      <c r="E44" s="247">
        <f>'Control Panel'!$B$17*'Control Panel'!$B$8*'Control Panel'!C52*1000000*IF('Control Panel'!$B$100=1,'Control Panel'!D$99,'Control Panel'!$B$28)*'Control Panel'!$B$62*'Control Panel'!$B$43*'Control Panel'!$C$43*'Control Panel'!D$59*(1+IF('Control Panel'!$D$93=1,'Control Panel'!$C$93,'Control Panel'!$B$30))^MAX(0,(2-'Control Panel'!$F$52)/2)*0.5</f>
        <v/>
      </c>
      <c r="F44" s="247">
        <f>'Control Panel'!$B$17*'Control Panel'!$B$8*'Control Panel'!C52*1000000*IF('Control Panel'!$B$100=1,'Control Panel'!E$99,'Control Panel'!$B$28)*'Control Panel'!$B$62*'Control Panel'!$B$43*'Control Panel'!$C$43*'Control Panel'!E$59*(1+IF('Control Panel'!$D$93=1,'Control Panel'!$C$93,'Control Panel'!$B$30))^MAX(0,(3-'Control Panel'!$F$52)/2)*0.5</f>
        <v/>
      </c>
      <c r="G44" s="247">
        <f>'Control Panel'!$B$17*'Control Panel'!$B$8*'Control Panel'!C52*1000000*IF('Control Panel'!$B$100=1,'Control Panel'!F$99,'Control Panel'!$B$28)*'Control Panel'!$B$62*'Control Panel'!$B$43*'Control Panel'!$C$43*'Control Panel'!F$59*(1+IF('Control Panel'!$D$93=1,'Control Panel'!$C$93,'Control Panel'!$B$30))^MAX(0,(4-'Control Panel'!$F$52)/2)*0.5</f>
        <v/>
      </c>
      <c r="H44" s="247">
        <f>'Control Panel'!$B$17*'Control Panel'!$B$8*'Control Panel'!C52*1000000*IF('Control Panel'!$B$100=1,'Control Panel'!G$99,'Control Panel'!$B$28)*'Control Panel'!$B$62*'Control Panel'!$B$43*'Control Panel'!$C$43*'Control Panel'!G$59*(1+IF('Control Panel'!$D$93=1,'Control Panel'!$C$93,'Control Panel'!$B$30))^MAX(0,(5-'Control Panel'!$F$52)/2)*0.5</f>
        <v/>
      </c>
      <c r="I44" s="247">
        <f>'Control Panel'!$B$17*'Control Panel'!$B$8*'Control Panel'!C52*1000000*IF('Control Panel'!$B$100=1,'Control Panel'!H$99,'Control Panel'!$B$28)*'Control Panel'!$B$62*'Control Panel'!$B$43*'Control Panel'!$C$43*'Control Panel'!H$59*(1+IF('Control Panel'!$D$93=1,'Control Panel'!$C$93,'Control Panel'!$B$30))^MAX(0,(6-'Control Panel'!$F$52)/2)*0.5</f>
        <v/>
      </c>
      <c r="J44" s="247">
        <f>'Control Panel'!$B$17*'Control Panel'!$B$8*'Control Panel'!C52*1000000*IF('Control Panel'!$B$100=1,'Control Panel'!I$99,'Control Panel'!$B$28)*'Control Panel'!$B$62*'Control Panel'!$B$43*'Control Panel'!$C$43*'Control Panel'!I$59*(1+IF('Control Panel'!$D$93=1,'Control Panel'!$C$93,'Control Panel'!$B$30))^MAX(0,(7-'Control Panel'!$F$52)/2)*0.5</f>
        <v/>
      </c>
      <c r="K44" s="247">
        <f>'Control Panel'!$B$17*'Control Panel'!$B$8*'Control Panel'!C52*1000000*IF('Control Panel'!$B$100=1,'Control Panel'!J$99,'Control Panel'!$B$28)*'Control Panel'!$B$62*'Control Panel'!$B$43*'Control Panel'!$C$43*'Control Panel'!J$59*(1+IF('Control Panel'!$D$93=1,'Control Panel'!$C$93,'Control Panel'!$B$30))^MAX(0,(8-'Control Panel'!$F$52)/2)*0.5</f>
        <v/>
      </c>
      <c r="L44" s="247">
        <f>'Control Panel'!$B$17*'Control Panel'!$B$8*'Control Panel'!C52*1000000*IF('Control Panel'!$B$100=1,'Control Panel'!K$99,'Control Panel'!$B$28)*'Control Panel'!$B$62*'Control Panel'!$B$43*'Control Panel'!$C$43*'Control Panel'!K$59*(1+IF('Control Panel'!$D$93=1,'Control Panel'!$C$93,'Control Panel'!$B$30))^MAX(0,(9-'Control Panel'!$F$52)/2)*0.5</f>
        <v/>
      </c>
      <c r="M44" s="247">
        <f>'Control Panel'!$B$17*'Control Panel'!$B$8*'Control Panel'!C52*1000000*IF('Control Panel'!$B$100=1,'Control Panel'!L$99,'Control Panel'!$B$28)*'Control Panel'!$B$62*'Control Panel'!$B$43*'Control Panel'!$C$43*'Control Panel'!L$59*(1+IF('Control Panel'!$D$93=1,'Control Panel'!$C$93,'Control Panel'!$B$30))^MAX(0,(10-'Control Panel'!$F$52)/2)*0.5</f>
        <v/>
      </c>
      <c r="N44" s="247">
        <f>SUM(C44:M44)</f>
        <v/>
      </c>
    </row>
    <row r="45" ht="15" customHeight="1" s="133">
      <c r="A45" s="177" t="inlineStr">
        <is>
          <t xml:space="preserve"> Custody (30 bps, 40%)</t>
        </is>
      </c>
      <c r="B45" s="176" t="inlineStr">
        <is>
          <t>H1 2029</t>
        </is>
      </c>
      <c r="C45" s="247">
        <f>'Control Panel'!$B$17*'Control Panel'!$B$9*'Control Panel'!D52*1000000*IF('Control Panel'!$B$100=1,'Control Panel'!B$99,'Control Panel'!$B$28)*'Control Panel'!$B$44*'Control Panel'!$C$44*'Control Panel'!B$59*(1+IF('Control Panel'!$D$93=1,'Control Panel'!$C$93,'Control Panel'!$B$30))^MAX(0,(0-'Control Panel'!$F$52)/2)*0.5</f>
        <v/>
      </c>
      <c r="D45" s="247">
        <f>'Control Panel'!$B$17*'Control Panel'!$B$9*'Control Panel'!D52*1000000*IF('Control Panel'!$B$100=1,'Control Panel'!C$99,'Control Panel'!$B$28)*'Control Panel'!$B$44*'Control Panel'!$C$44*'Control Panel'!C$59*(1+IF('Control Panel'!$D$93=1,'Control Panel'!$C$93,'Control Panel'!$B$30))^MAX(0,(1-'Control Panel'!$F$52)/2)*0.5</f>
        <v/>
      </c>
      <c r="E45" s="247">
        <f>'Control Panel'!$B$17*'Control Panel'!$B$9*'Control Panel'!D52*1000000*IF('Control Panel'!$B$100=1,'Control Panel'!D$99,'Control Panel'!$B$28)*'Control Panel'!$B$44*'Control Panel'!$C$44*'Control Panel'!D$59*(1+IF('Control Panel'!$D$93=1,'Control Panel'!$C$93,'Control Panel'!$B$30))^MAX(0,(2-'Control Panel'!$F$52)/2)*0.5</f>
        <v/>
      </c>
      <c r="F45" s="247">
        <f>'Control Panel'!$B$17*'Control Panel'!$B$9*'Control Panel'!D52*1000000*IF('Control Panel'!$B$100=1,'Control Panel'!E$99,'Control Panel'!$B$28)*'Control Panel'!$B$44*'Control Panel'!$C$44*'Control Panel'!E$59*(1+IF('Control Panel'!$D$93=1,'Control Panel'!$C$93,'Control Panel'!$B$30))^MAX(0,(3-'Control Panel'!$F$52)/2)*0.5</f>
        <v/>
      </c>
      <c r="G45" s="247">
        <f>'Control Panel'!$B$17*'Control Panel'!$B$9*'Control Panel'!D52*1000000*IF('Control Panel'!$B$100=1,'Control Panel'!F$99,'Control Panel'!$B$28)*'Control Panel'!$B$44*'Control Panel'!$C$44*'Control Panel'!F$59*(1+IF('Control Panel'!$D$93=1,'Control Panel'!$C$93,'Control Panel'!$B$30))^MAX(0,(4-'Control Panel'!$F$52)/2)*0.5</f>
        <v/>
      </c>
      <c r="H45" s="247">
        <f>'Control Panel'!$B$17*'Control Panel'!$B$9*'Control Panel'!D52*1000000*IF('Control Panel'!$B$100=1,'Control Panel'!G$99,'Control Panel'!$B$28)*'Control Panel'!$B$44*'Control Panel'!$C$44*'Control Panel'!G$59*(1+IF('Control Panel'!$D$93=1,'Control Panel'!$C$93,'Control Panel'!$B$30))^MAX(0,(5-'Control Panel'!$F$52)/2)*0.5</f>
        <v/>
      </c>
      <c r="I45" s="247">
        <f>'Control Panel'!$B$17*'Control Panel'!$B$9*'Control Panel'!D52*1000000*IF('Control Panel'!$B$100=1,'Control Panel'!H$99,'Control Panel'!$B$28)*'Control Panel'!$B$44*'Control Panel'!$C$44*'Control Panel'!H$59*(1+IF('Control Panel'!$D$93=1,'Control Panel'!$C$93,'Control Panel'!$B$30))^MAX(0,(6-'Control Panel'!$F$52)/2)*0.5</f>
        <v/>
      </c>
      <c r="J45" s="247">
        <f>'Control Panel'!$B$17*'Control Panel'!$B$9*'Control Panel'!D52*1000000*IF('Control Panel'!$B$100=1,'Control Panel'!I$99,'Control Panel'!$B$28)*'Control Panel'!$B$44*'Control Panel'!$C$44*'Control Panel'!I$59*(1+IF('Control Panel'!$D$93=1,'Control Panel'!$C$93,'Control Panel'!$B$30))^MAX(0,(7-'Control Panel'!$F$52)/2)*0.5</f>
        <v/>
      </c>
      <c r="K45" s="247">
        <f>'Control Panel'!$B$17*'Control Panel'!$B$9*'Control Panel'!D52*1000000*IF('Control Panel'!$B$100=1,'Control Panel'!J$99,'Control Panel'!$B$28)*'Control Panel'!$B$44*'Control Panel'!$C$44*'Control Panel'!J$59*(1+IF('Control Panel'!$D$93=1,'Control Panel'!$C$93,'Control Panel'!$B$30))^MAX(0,(8-'Control Panel'!$F$52)/2)*0.5</f>
        <v/>
      </c>
      <c r="L45" s="247">
        <f>'Control Panel'!$B$17*'Control Panel'!$B$9*'Control Panel'!D52*1000000*IF('Control Panel'!$B$100=1,'Control Panel'!K$99,'Control Panel'!$B$28)*'Control Panel'!$B$44*'Control Panel'!$C$44*'Control Panel'!K$59*(1+IF('Control Panel'!$D$93=1,'Control Panel'!$C$93,'Control Panel'!$B$30))^MAX(0,(9-'Control Panel'!$F$52)/2)*0.5</f>
        <v/>
      </c>
      <c r="M45" s="247">
        <f>'Control Panel'!$B$17*'Control Panel'!$B$9*'Control Panel'!D52*1000000*IF('Control Panel'!$B$100=1,'Control Panel'!L$99,'Control Panel'!$B$28)*'Control Panel'!$B$44*'Control Panel'!$C$44*'Control Panel'!L$59*(1+IF('Control Panel'!$D$93=1,'Control Panel'!$C$93,'Control Panel'!$B$30))^MAX(0,(10-'Control Panel'!$F$52)/2)*0.5</f>
        <v/>
      </c>
      <c r="N45" s="247">
        <f>SUM(C45:M45)</f>
        <v/>
      </c>
    </row>
    <row r="46" ht="15" customHeight="1" s="133">
      <c r="A46" s="177" t="inlineStr">
        <is>
          <t xml:space="preserve"> SaaS + APIs (80%)</t>
        </is>
      </c>
      <c r="B46" s="176" t="inlineStr">
        <is>
          <t>H1 2029</t>
        </is>
      </c>
      <c r="C46" s="247">
        <f>'Control Panel'!$B$17*'Control Panel'!$B$10*'Control Panel'!E52*'Control Panel'!$B$45*'Control Panel'!$C$45*'Control Panel'!B$59*0.5</f>
        <v/>
      </c>
      <c r="D46" s="247">
        <f>'Control Panel'!$B$17*'Control Panel'!$B$10*'Control Panel'!E52*'Control Panel'!$B$45*'Control Panel'!$C$45*'Control Panel'!C$59*0.5</f>
        <v/>
      </c>
      <c r="E46" s="247">
        <f>'Control Panel'!$B$17*'Control Panel'!$B$10*'Control Panel'!E52*'Control Panel'!$B$45*'Control Panel'!$C$45*'Control Panel'!D$59*0.5</f>
        <v/>
      </c>
      <c r="F46" s="247">
        <f>'Control Panel'!$B$17*'Control Panel'!$B$10*'Control Panel'!E52*'Control Panel'!$B$45*'Control Panel'!$C$45*'Control Panel'!E$59*0.5</f>
        <v/>
      </c>
      <c r="G46" s="247">
        <f>'Control Panel'!$B$17*'Control Panel'!$B$10*'Control Panel'!E52*'Control Panel'!$B$45*'Control Panel'!$C$45*'Control Panel'!F$59*0.5</f>
        <v/>
      </c>
      <c r="H46" s="247">
        <f>'Control Panel'!$B$17*'Control Panel'!$B$10*'Control Panel'!E52*'Control Panel'!$B$45*'Control Panel'!$C$45*'Control Panel'!G$59*0.5</f>
        <v/>
      </c>
      <c r="I46" s="247">
        <f>'Control Panel'!$B$17*'Control Panel'!$B$10*'Control Panel'!E52*'Control Panel'!$B$45*'Control Panel'!$C$45*'Control Panel'!H$59*0.5</f>
        <v/>
      </c>
      <c r="J46" s="247">
        <f>'Control Panel'!$B$17*'Control Panel'!$B$10*'Control Panel'!E52*'Control Panel'!$B$45*'Control Panel'!$C$45*'Control Panel'!I$59*0.5</f>
        <v/>
      </c>
      <c r="K46" s="247">
        <f>'Control Panel'!$B$17*'Control Panel'!$B$10*'Control Panel'!E52*'Control Panel'!$B$45*'Control Panel'!$C$45*'Control Panel'!J$59*0.5</f>
        <v/>
      </c>
      <c r="L46" s="247">
        <f>'Control Panel'!$B$17*'Control Panel'!$B$10*'Control Panel'!E52*'Control Panel'!$B$45*'Control Panel'!$C$45*'Control Panel'!K$59*0.5</f>
        <v/>
      </c>
      <c r="M46" s="247">
        <f>'Control Panel'!$B$17*'Control Panel'!$B$10*'Control Panel'!E52*'Control Panel'!$B$45*'Control Panel'!$C$45*'Control Panel'!L$59*0.5</f>
        <v/>
      </c>
      <c r="N46" s="247">
        <f>SUM(C46:M46)</f>
        <v/>
      </c>
    </row>
    <row r="47" ht="15" customHeight="1" s="133">
      <c r="A47" s="316" t="inlineStr">
        <is>
          <t>SERVUS SUBTOTAL</t>
        </is>
      </c>
      <c r="B47" s="317" t="inlineStr">
        <is>
          <t>H1 2029</t>
        </is>
      </c>
      <c r="C47" s="318">
        <f>C42+C43+C44+C45+C46</f>
        <v/>
      </c>
      <c r="D47" s="318">
        <f>D42+D43+D44+D45+D46</f>
        <v/>
      </c>
      <c r="E47" s="318">
        <f>E42+E43+E44+E45+E46</f>
        <v/>
      </c>
      <c r="F47" s="318">
        <f>F42+F43+F44+F45+F46</f>
        <v/>
      </c>
      <c r="G47" s="318">
        <f>G42+G43+G44+G45+G46</f>
        <v/>
      </c>
      <c r="H47" s="318">
        <f>H42+H43+H44+H45+H46</f>
        <v/>
      </c>
      <c r="I47" s="318">
        <f>I42+I43+I44+I45+I46</f>
        <v/>
      </c>
      <c r="J47" s="318">
        <f>J42+J43+J44+J45+J46</f>
        <v/>
      </c>
      <c r="K47" s="318">
        <f>K42+K43+K44+K45+K46</f>
        <v/>
      </c>
      <c r="L47" s="318">
        <f>L42+L43+L44+L45+L46</f>
        <v/>
      </c>
      <c r="M47" s="318">
        <f>M42+M43+M44+M45+M46</f>
        <v/>
      </c>
      <c r="N47" s="318">
        <f>SUM(C47:M47)</f>
        <v/>
      </c>
    </row>
    <row r="48" ht="15" customHeight="1" s="133">
      <c r="A48" s="319" t="inlineStr">
        <is>
          <t>(REMOVED - (reserved slot) out of scope)</t>
        </is>
      </c>
      <c r="B48" s="157" t="n"/>
      <c r="C48" s="157" t="n"/>
      <c r="D48" s="157" t="n"/>
      <c r="E48" s="157" t="n"/>
      <c r="F48" s="157" t="n"/>
      <c r="G48" s="157" t="n"/>
      <c r="H48" s="157" t="n"/>
      <c r="I48" s="157" t="n"/>
      <c r="J48" s="157" t="n"/>
      <c r="K48" s="157" t="n"/>
      <c r="L48" s="157" t="n"/>
      <c r="M48" s="157" t="n"/>
      <c r="N48" s="157" t="n"/>
    </row>
    <row r="49" ht="15" customHeight="1" s="133">
      <c r="A49" s="168" t="inlineStr">
        <is>
          <t>(reserved slot)</t>
        </is>
      </c>
      <c r="B49" s="219" t="n">
        <v>0</v>
      </c>
      <c r="C49" s="247" t="n">
        <v>0</v>
      </c>
      <c r="D49" s="247" t="n">
        <v>0</v>
      </c>
      <c r="E49" s="247" t="n">
        <v>0</v>
      </c>
      <c r="F49" s="247" t="n">
        <v>0</v>
      </c>
      <c r="G49" s="247" t="n">
        <v>0</v>
      </c>
      <c r="H49" s="247" t="n">
        <v>0</v>
      </c>
      <c r="I49" s="247" t="n">
        <v>0</v>
      </c>
      <c r="J49" s="247" t="n">
        <v>0</v>
      </c>
      <c r="K49" s="247" t="n">
        <v>0</v>
      </c>
      <c r="L49" s="247" t="n">
        <v>0</v>
      </c>
      <c r="M49" s="247" t="n">
        <v>0</v>
      </c>
      <c r="N49" s="179" t="n">
        <v>0</v>
      </c>
    </row>
    <row r="50" ht="15" customHeight="1" s="133">
      <c r="A50" s="320" t="inlineStr">
        <is>
          <t>(RESERVED - 6th revenue stream placeholder; currently OFF)</t>
        </is>
      </c>
    </row>
    <row r="51" ht="15" customHeight="1" s="133">
      <c r="A51" s="131" t="inlineStr">
        <is>
          <t>(reserved - ATB Financial )</t>
        </is>
      </c>
      <c r="B51" s="131" t="inlineStr">
        <is>
          <t>H1 2028</t>
        </is>
      </c>
      <c r="C51" s="189">
        <f>'Control Panel'!$B$14*'Control Panel'!$B$138*'Control Panel'!$B$140*'Control Panel'!$B$139*'Control Panel'!B$56*(1+IF('Control Panel'!$D$90=1,'Control Panel'!$C$90,'Control Panel'!$B$30))^MAX(0,(0-1)/2)*0.5</f>
        <v/>
      </c>
      <c r="D51" s="189">
        <f>'Control Panel'!$B$14*'Control Panel'!$B$138*'Control Panel'!$B$140*'Control Panel'!$B$139*'Control Panel'!C$56*(1+IF('Control Panel'!$D$90=1,'Control Panel'!$C$90,'Control Panel'!$B$30))^MAX(0,(1-1)/2)*0.5</f>
        <v/>
      </c>
      <c r="E51" s="189">
        <f>'Control Panel'!$B$14*'Control Panel'!$B$138*'Control Panel'!$B$140*'Control Panel'!$B$139*'Control Panel'!D$56*(1+IF('Control Panel'!$D$90=1,'Control Panel'!$C$90,'Control Panel'!$B$30))^MAX(0,(2-1)/2)*0.5</f>
        <v/>
      </c>
      <c r="F51" s="189">
        <f>'Control Panel'!$B$14*'Control Panel'!$B$138*'Control Panel'!$B$140*'Control Panel'!$B$139*'Control Panel'!E$56*(1+IF('Control Panel'!$D$90=1,'Control Panel'!$C$90,'Control Panel'!$B$30))^MAX(0,(3-1)/2)*0.5</f>
        <v/>
      </c>
      <c r="G51" s="189">
        <f>'Control Panel'!$B$14*'Control Panel'!$B$138*'Control Panel'!$B$140*'Control Panel'!$B$139*'Control Panel'!F$56*(1+IF('Control Panel'!$D$90=1,'Control Panel'!$C$90,'Control Panel'!$B$30))^MAX(0,(4-1)/2)*0.5</f>
        <v/>
      </c>
      <c r="H51" s="189">
        <f>'Control Panel'!$B$14*'Control Panel'!$B$138*'Control Panel'!$B$140*'Control Panel'!$B$139*'Control Panel'!G$56*(1+IF('Control Panel'!$D$90=1,'Control Panel'!$C$90,'Control Panel'!$B$30))^MAX(0,(5-1)/2)*0.5</f>
        <v/>
      </c>
      <c r="I51" s="189">
        <f>'Control Panel'!$B$14*'Control Panel'!$B$138*'Control Panel'!$B$140*'Control Panel'!$B$139*'Control Panel'!H$56*(1+IF('Control Panel'!$D$90=1,'Control Panel'!$C$90,'Control Panel'!$B$30))^MAX(0,(6-1)/2)*0.5</f>
        <v/>
      </c>
      <c r="J51" s="189">
        <f>'Control Panel'!$B$14*'Control Panel'!$B$138*'Control Panel'!$B$140*'Control Panel'!$B$139*'Control Panel'!I$56*(1+IF('Control Panel'!$D$90=1,'Control Panel'!$C$90,'Control Panel'!$B$30))^MAX(0,(7-1)/2)*0.5</f>
        <v/>
      </c>
      <c r="K51" s="189">
        <f>'Control Panel'!$B$14*'Control Panel'!$B$138*'Control Panel'!$B$140*'Control Panel'!$B$139*'Control Panel'!J$56*(1+IF('Control Panel'!$D$90=1,'Control Panel'!$C$90,'Control Panel'!$B$30))^MAX(0,(8-1)/2)*0.5</f>
        <v/>
      </c>
      <c r="L51" s="189">
        <f>'Control Panel'!$B$14*'Control Panel'!$B$138*'Control Panel'!$B$140*'Control Panel'!$B$139*'Control Panel'!K$56*(1+IF('Control Panel'!$D$90=1,'Control Panel'!$C$90,'Control Panel'!$B$30))^MAX(0,(9-1)/2)*0.5</f>
        <v/>
      </c>
      <c r="M51" s="189">
        <f>'Control Panel'!$B$14*'Control Panel'!$B$138*'Control Panel'!$B$140*'Control Panel'!$B$139*'Control Panel'!L$56*(1+IF('Control Panel'!$D$90=1,'Control Panel'!$C$90,'Control Panel'!$B$30))^MAX(0,(10-1)/2)*0.5</f>
        <v/>
      </c>
      <c r="N51" s="189">
        <f>SUM(C51:M51)</f>
        <v/>
      </c>
    </row>
    <row r="52" ht="15" customHeight="1" s="133">
      <c r="A52" s="131" t="inlineStr">
        <is>
          <t>(reserved - Bow Valley CU )</t>
        </is>
      </c>
      <c r="B52" s="131" t="inlineStr">
        <is>
          <t>H1 2028</t>
        </is>
      </c>
      <c r="C52" s="189">
        <f>'Control Panel'!$B$15*'Control Panel'!$B$138*'Control Panel'!$B$141*'Control Panel'!$B$139*'Control Panel'!B$57*(1+IF('Control Panel'!$D$91=1,'Control Panel'!$C$91,'Control Panel'!$B$30))^MAX(0,(0-1)/2)*0.5</f>
        <v/>
      </c>
      <c r="D52" s="189">
        <f>'Control Panel'!$B$15*'Control Panel'!$B$138*'Control Panel'!$B$141*'Control Panel'!$B$139*'Control Panel'!C$57*(1+IF('Control Panel'!$D$91=1,'Control Panel'!$C$91,'Control Panel'!$B$30))^MAX(0,(1-1)/2)*0.5</f>
        <v/>
      </c>
      <c r="E52" s="189">
        <f>'Control Panel'!$B$15*'Control Panel'!$B$138*'Control Panel'!$B$141*'Control Panel'!$B$139*'Control Panel'!D$57*(1+IF('Control Panel'!$D$91=1,'Control Panel'!$C$91,'Control Panel'!$B$30))^MAX(0,(2-1)/2)*0.5</f>
        <v/>
      </c>
      <c r="F52" s="189">
        <f>'Control Panel'!$B$15*'Control Panel'!$B$138*'Control Panel'!$B$141*'Control Panel'!$B$139*'Control Panel'!E$57*(1+IF('Control Panel'!$D$91=1,'Control Panel'!$C$91,'Control Panel'!$B$30))^MAX(0,(3-1)/2)*0.5</f>
        <v/>
      </c>
      <c r="G52" s="189">
        <f>'Control Panel'!$B$15*'Control Panel'!$B$138*'Control Panel'!$B$141*'Control Panel'!$B$139*'Control Panel'!F$57*(1+IF('Control Panel'!$D$91=1,'Control Panel'!$C$91,'Control Panel'!$B$30))^MAX(0,(4-1)/2)*0.5</f>
        <v/>
      </c>
      <c r="H52" s="189">
        <f>'Control Panel'!$B$15*'Control Panel'!$B$138*'Control Panel'!$B$141*'Control Panel'!$B$139*'Control Panel'!G$57*(1+IF('Control Panel'!$D$91=1,'Control Panel'!$C$91,'Control Panel'!$B$30))^MAX(0,(5-1)/2)*0.5</f>
        <v/>
      </c>
      <c r="I52" s="189">
        <f>'Control Panel'!$B$15*'Control Panel'!$B$138*'Control Panel'!$B$141*'Control Panel'!$B$139*'Control Panel'!H$57*(1+IF('Control Panel'!$D$91=1,'Control Panel'!$C$91,'Control Panel'!$B$30))^MAX(0,(6-1)/2)*0.5</f>
        <v/>
      </c>
      <c r="J52" s="189">
        <f>'Control Panel'!$B$15*'Control Panel'!$B$138*'Control Panel'!$B$141*'Control Panel'!$B$139*'Control Panel'!I$57*(1+IF('Control Panel'!$D$91=1,'Control Panel'!$C$91,'Control Panel'!$B$30))^MAX(0,(7-1)/2)*0.5</f>
        <v/>
      </c>
      <c r="K52" s="189">
        <f>'Control Panel'!$B$15*'Control Panel'!$B$138*'Control Panel'!$B$141*'Control Panel'!$B$139*'Control Panel'!J$57*(1+IF('Control Panel'!$D$91=1,'Control Panel'!$C$91,'Control Panel'!$B$30))^MAX(0,(8-1)/2)*0.5</f>
        <v/>
      </c>
      <c r="L52" s="189">
        <f>'Control Panel'!$B$15*'Control Panel'!$B$138*'Control Panel'!$B$141*'Control Panel'!$B$139*'Control Panel'!K$57*(1+IF('Control Panel'!$D$91=1,'Control Panel'!$C$91,'Control Panel'!$B$30))^MAX(0,(9-1)/2)*0.5</f>
        <v/>
      </c>
      <c r="M52" s="189">
        <f>'Control Panel'!$B$15*'Control Panel'!$B$138*'Control Panel'!$B$141*'Control Panel'!$B$139*'Control Panel'!L$57*(1+IF('Control Panel'!$D$91=1,'Control Panel'!$C$91,'Control Panel'!$B$30))^MAX(0,(10-1)/2)*0.5</f>
        <v/>
      </c>
      <c r="N52" s="189">
        <f>SUM(C52:M52)</f>
        <v/>
      </c>
    </row>
    <row r="53" ht="15" customHeight="1" s="133">
      <c r="A53" s="131" t="inlineStr">
        <is>
          <t>(reserved - Vancity CU )</t>
        </is>
      </c>
      <c r="B53" s="131" t="inlineStr">
        <is>
          <t>H1 2029</t>
        </is>
      </c>
      <c r="C53" s="189">
        <f>'Control Panel'!$B$16*'Control Panel'!$B$138*'Control Panel'!$B$142*'Control Panel'!$B$139*'Control Panel'!B$58*(1+IF('Control Panel'!$D$92=1,'Control Panel'!$C$92,'Control Panel'!$B$30))^MAX(0,(0-3)/2)*0.5</f>
        <v/>
      </c>
      <c r="D53" s="189">
        <f>'Control Panel'!$B$16*'Control Panel'!$B$138*'Control Panel'!$B$142*'Control Panel'!$B$139*'Control Panel'!C$58*(1+IF('Control Panel'!$D$92=1,'Control Panel'!$C$92,'Control Panel'!$B$30))^MAX(0,(1-3)/2)*0.5</f>
        <v/>
      </c>
      <c r="E53" s="189">
        <f>'Control Panel'!$B$16*'Control Panel'!$B$138*'Control Panel'!$B$142*'Control Panel'!$B$139*'Control Panel'!D$58*(1+IF('Control Panel'!$D$92=1,'Control Panel'!$C$92,'Control Panel'!$B$30))^MAX(0,(2-3)/2)*0.5</f>
        <v/>
      </c>
      <c r="F53" s="189">
        <f>'Control Panel'!$B$16*'Control Panel'!$B$138*'Control Panel'!$B$142*'Control Panel'!$B$139*'Control Panel'!E$58*(1+IF('Control Panel'!$D$92=1,'Control Panel'!$C$92,'Control Panel'!$B$30))^MAX(0,(3-3)/2)*0.5</f>
        <v/>
      </c>
      <c r="G53" s="189">
        <f>'Control Panel'!$B$16*'Control Panel'!$B$138*'Control Panel'!$B$142*'Control Panel'!$B$139*'Control Panel'!F$58*(1+IF('Control Panel'!$D$92=1,'Control Panel'!$C$92,'Control Panel'!$B$30))^MAX(0,(4-3)/2)*0.5</f>
        <v/>
      </c>
      <c r="H53" s="189">
        <f>'Control Panel'!$B$16*'Control Panel'!$B$138*'Control Panel'!$B$142*'Control Panel'!$B$139*'Control Panel'!G$58*(1+IF('Control Panel'!$D$92=1,'Control Panel'!$C$92,'Control Panel'!$B$30))^MAX(0,(5-3)/2)*0.5</f>
        <v/>
      </c>
      <c r="I53" s="189">
        <f>'Control Panel'!$B$16*'Control Panel'!$B$138*'Control Panel'!$B$142*'Control Panel'!$B$139*'Control Panel'!H$58*(1+IF('Control Panel'!$D$92=1,'Control Panel'!$C$92,'Control Panel'!$B$30))^MAX(0,(6-3)/2)*0.5</f>
        <v/>
      </c>
      <c r="J53" s="189">
        <f>'Control Panel'!$B$16*'Control Panel'!$B$138*'Control Panel'!$B$142*'Control Panel'!$B$139*'Control Panel'!I$58*(1+IF('Control Panel'!$D$92=1,'Control Panel'!$C$92,'Control Panel'!$B$30))^MAX(0,(7-3)/2)*0.5</f>
        <v/>
      </c>
      <c r="K53" s="189">
        <f>'Control Panel'!$B$16*'Control Panel'!$B$138*'Control Panel'!$B$142*'Control Panel'!$B$139*'Control Panel'!J$58*(1+IF('Control Panel'!$D$92=1,'Control Panel'!$C$92,'Control Panel'!$B$30))^MAX(0,(8-3)/2)*0.5</f>
        <v/>
      </c>
      <c r="L53" s="189">
        <f>'Control Panel'!$B$16*'Control Panel'!$B$138*'Control Panel'!$B$142*'Control Panel'!$B$139*'Control Panel'!K$58*(1+IF('Control Panel'!$D$92=1,'Control Panel'!$C$92,'Control Panel'!$B$30))^MAX(0,(9-3)/2)*0.5</f>
        <v/>
      </c>
      <c r="M53" s="189">
        <f>'Control Panel'!$B$16*'Control Panel'!$B$138*'Control Panel'!$B$142*'Control Panel'!$B$139*'Control Panel'!L$58*(1+IF('Control Panel'!$D$92=1,'Control Panel'!$C$92,'Control Panel'!$B$30))^MAX(0,(10-3)/2)*0.5</f>
        <v/>
      </c>
      <c r="N53" s="189">
        <f>SUM(C53:M53)</f>
        <v/>
      </c>
    </row>
    <row r="54" ht="15" customHeight="1" s="133">
      <c r="A54" s="131" t="inlineStr">
        <is>
          <t>(reserved - Servus CU )</t>
        </is>
      </c>
      <c r="B54" s="131" t="inlineStr">
        <is>
          <t>H1 2029</t>
        </is>
      </c>
      <c r="C54" s="189">
        <f>'Control Panel'!$B$17*'Control Panel'!$B$138*'Control Panel'!$B$143*'Control Panel'!$B$139*'Control Panel'!B$59*(1+IF('Control Panel'!$D$93=1,'Control Panel'!$C$93,'Control Panel'!$B$30))^MAX(0,(0-3)/2)*0.5</f>
        <v/>
      </c>
      <c r="D54" s="189">
        <f>'Control Panel'!$B$17*'Control Panel'!$B$138*'Control Panel'!$B$143*'Control Panel'!$B$139*'Control Panel'!C$59*(1+IF('Control Panel'!$D$93=1,'Control Panel'!$C$93,'Control Panel'!$B$30))^MAX(0,(1-3)/2)*0.5</f>
        <v/>
      </c>
      <c r="E54" s="189">
        <f>'Control Panel'!$B$17*'Control Panel'!$B$138*'Control Panel'!$B$143*'Control Panel'!$B$139*'Control Panel'!D$59*(1+IF('Control Panel'!$D$93=1,'Control Panel'!$C$93,'Control Panel'!$B$30))^MAX(0,(2-3)/2)*0.5</f>
        <v/>
      </c>
      <c r="F54" s="189">
        <f>'Control Panel'!$B$17*'Control Panel'!$B$138*'Control Panel'!$B$143*'Control Panel'!$B$139*'Control Panel'!E$59*(1+IF('Control Panel'!$D$93=1,'Control Panel'!$C$93,'Control Panel'!$B$30))^MAX(0,(3-3)/2)*0.5</f>
        <v/>
      </c>
      <c r="G54" s="189">
        <f>'Control Panel'!$B$17*'Control Panel'!$B$138*'Control Panel'!$B$143*'Control Panel'!$B$139*'Control Panel'!F$59*(1+IF('Control Panel'!$D$93=1,'Control Panel'!$C$93,'Control Panel'!$B$30))^MAX(0,(4-3)/2)*0.5</f>
        <v/>
      </c>
      <c r="H54" s="189">
        <f>'Control Panel'!$B$17*'Control Panel'!$B$138*'Control Panel'!$B$143*'Control Panel'!$B$139*'Control Panel'!G$59*(1+IF('Control Panel'!$D$93=1,'Control Panel'!$C$93,'Control Panel'!$B$30))^MAX(0,(5-3)/2)*0.5</f>
        <v/>
      </c>
      <c r="I54" s="189">
        <f>'Control Panel'!$B$17*'Control Panel'!$B$138*'Control Panel'!$B$143*'Control Panel'!$B$139*'Control Panel'!H$59*(1+IF('Control Panel'!$D$93=1,'Control Panel'!$C$93,'Control Panel'!$B$30))^MAX(0,(6-3)/2)*0.5</f>
        <v/>
      </c>
      <c r="J54" s="189">
        <f>'Control Panel'!$B$17*'Control Panel'!$B$138*'Control Panel'!$B$143*'Control Panel'!$B$139*'Control Panel'!I$59*(1+IF('Control Panel'!$D$93=1,'Control Panel'!$C$93,'Control Panel'!$B$30))^MAX(0,(7-3)/2)*0.5</f>
        <v/>
      </c>
      <c r="K54" s="189">
        <f>'Control Panel'!$B$17*'Control Panel'!$B$138*'Control Panel'!$B$143*'Control Panel'!$B$139*'Control Panel'!J$59*(1+IF('Control Panel'!$D$93=1,'Control Panel'!$C$93,'Control Panel'!$B$30))^MAX(0,(8-3)/2)*0.5</f>
        <v/>
      </c>
      <c r="L54" s="189">
        <f>'Control Panel'!$B$17*'Control Panel'!$B$138*'Control Panel'!$B$143*'Control Panel'!$B$139*'Control Panel'!K$59*(1+IF('Control Panel'!$D$93=1,'Control Panel'!$C$93,'Control Panel'!$B$30))^MAX(0,(9-3)/2)*0.5</f>
        <v/>
      </c>
      <c r="M54" s="189">
        <f>'Control Panel'!$B$17*'Control Panel'!$B$138*'Control Panel'!$B$143*'Control Panel'!$B$139*'Control Panel'!L$59*(1+IF('Control Panel'!$D$93=1,'Control Panel'!$C$93,'Control Panel'!$B$30))^MAX(0,(10-3)/2)*0.5</f>
        <v/>
      </c>
      <c r="N54" s="189">
        <f>SUM(C54:M54)</f>
        <v/>
      </c>
    </row>
    <row r="55" ht="15" customHeight="1" s="133">
      <c r="A55" s="321" t="inlineStr">
        <is>
          <t>(reserved subtotal)</t>
        </is>
      </c>
      <c r="B55" s="322" t="n"/>
      <c r="C55" s="323">
        <f>C51+C52+C53+C54</f>
        <v/>
      </c>
      <c r="D55" s="323">
        <f>D51+D52+D53+D54</f>
        <v/>
      </c>
      <c r="E55" s="323">
        <f>E51+E52+E53+E54</f>
        <v/>
      </c>
      <c r="F55" s="323">
        <f>F51+F52+F53+F54</f>
        <v/>
      </c>
      <c r="G55" s="323">
        <f>G51+G52+G53+G54</f>
        <v/>
      </c>
      <c r="H55" s="323">
        <f>H51+H52+H53+H54</f>
        <v/>
      </c>
      <c r="I55" s="323">
        <f>I51+I52+I53+I54</f>
        <v/>
      </c>
      <c r="J55" s="323">
        <f>J51+J52+J53+J54</f>
        <v/>
      </c>
      <c r="K55" s="323">
        <f>K51+K52+K53+K54</f>
        <v/>
      </c>
      <c r="L55" s="323">
        <f>L51+L52+L53+L54</f>
        <v/>
      </c>
      <c r="M55" s="323">
        <f>M51+M52+M53+M54</f>
        <v/>
      </c>
      <c r="N55" s="323">
        <f>SUM(C55:M55)</f>
        <v/>
      </c>
    </row>
    <row r="56" ht="15" customHeight="1" s="133">
      <c r="A56" s="184" t="inlineStr">
        <is>
          <t>(reserved for future gainshare arrangements; currently 0)</t>
        </is>
      </c>
    </row>
    <row r="57" ht="15" customHeight="1" s="133"/>
    <row r="58" ht="15" customHeight="1" s="133">
      <c r="A58" s="321" t="inlineStr">
        <is>
          <t>TOTAL REVENUE (All FIs + (reserved))</t>
        </is>
      </c>
      <c r="B58" s="321" t="n"/>
      <c r="C58" s="318">
        <f>C26+C33+C40+C47+C49+C55</f>
        <v/>
      </c>
      <c r="D58" s="318">
        <f>D26+D33+D40+D47+D49+D55</f>
        <v/>
      </c>
      <c r="E58" s="318">
        <f>E26+E33+E40+E47+E49+E55</f>
        <v/>
      </c>
      <c r="F58" s="318">
        <f>F26+F33+F40+F47+F49+F55</f>
        <v/>
      </c>
      <c r="G58" s="318">
        <f>G26+G33+G40+G47+G49+G55</f>
        <v/>
      </c>
      <c r="H58" s="318">
        <f>H26+H33+H40+H47+H49+H55</f>
        <v/>
      </c>
      <c r="I58" s="318">
        <f>I26+I33+I40+I47+I49+I55</f>
        <v/>
      </c>
      <c r="J58" s="318">
        <f>J26+J33+J40+J47+J49+J55</f>
        <v/>
      </c>
      <c r="K58" s="318">
        <f>K26+K33+K40+K47+K49+K55</f>
        <v/>
      </c>
      <c r="L58" s="318">
        <f>L26+L33+L40+L47+L49+L55</f>
        <v/>
      </c>
      <c r="M58" s="318">
        <f>M26+M33+M40+M47+M49+M55</f>
        <v/>
      </c>
      <c r="N58" s="318">
        <f>SUM(C58:M58)</f>
        <v/>
      </c>
    </row>
    <row r="59" ht="15" customHeight="1" s="133"/>
    <row r="60" ht="15" customHeight="1" s="133">
      <c r="A60" s="315" t="inlineStr">
        <is>
          <t>REVENUE BREAKDOWN BY STREAM (ALL FIs)</t>
        </is>
      </c>
      <c r="B60" s="170" t="n"/>
      <c r="C60" s="170" t="n"/>
      <c r="D60" s="170" t="n"/>
      <c r="E60" s="170" t="n"/>
      <c r="F60" s="170" t="n"/>
      <c r="G60" s="170" t="n"/>
      <c r="H60" s="170" t="n"/>
      <c r="I60" s="170" t="n"/>
      <c r="J60" s="170" t="n"/>
      <c r="K60" s="170" t="n"/>
      <c r="L60" s="170" t="n"/>
      <c r="M60" s="170" t="n"/>
      <c r="N60" s="170" t="n"/>
    </row>
    <row r="61" ht="15" customHeight="1" s="133">
      <c r="A61" s="144" t="inlineStr">
        <is>
          <t>Stream</t>
        </is>
      </c>
      <c r="B61" s="144" t="n"/>
      <c r="C61" s="144" t="inlineStr">
        <is>
          <t>H2 2026</t>
        </is>
      </c>
      <c r="D61" s="144" t="inlineStr">
        <is>
          <t>H1 2027</t>
        </is>
      </c>
      <c r="E61" s="144" t="inlineStr">
        <is>
          <t>H2 2027</t>
        </is>
      </c>
      <c r="F61" s="144" t="inlineStr">
        <is>
          <t>H1 2028</t>
        </is>
      </c>
      <c r="G61" s="144" t="inlineStr">
        <is>
          <t>H2 2028</t>
        </is>
      </c>
      <c r="H61" s="144" t="inlineStr">
        <is>
          <t>H1 2029</t>
        </is>
      </c>
      <c r="I61" s="144" t="inlineStr">
        <is>
          <t>H2 2029</t>
        </is>
      </c>
      <c r="J61" s="144" t="inlineStr">
        <is>
          <t>H1 2030</t>
        </is>
      </c>
      <c r="K61" s="144" t="inlineStr">
        <is>
          <t>H2 2030</t>
        </is>
      </c>
      <c r="L61" s="144" t="inlineStr">
        <is>
          <t>H1 2031</t>
        </is>
      </c>
      <c r="M61" s="144" t="inlineStr">
        <is>
          <t>H2 2031</t>
        </is>
      </c>
      <c r="N61" s="144" t="inlineStr">
        <is>
          <t>5-Year Total</t>
        </is>
      </c>
    </row>
    <row r="62" ht="15" customHeight="1" s="133">
      <c r="A62" s="146" t="inlineStr">
        <is>
          <t>Settlement Fees (1.5 bps)</t>
        </is>
      </c>
      <c r="C62" s="247">
        <f>C21+C28+C35+C42</f>
        <v/>
      </c>
      <c r="D62" s="247">
        <f>D21+D28+D35+D42</f>
        <v/>
      </c>
      <c r="E62" s="247">
        <f>E21+E28+E35+E42</f>
        <v/>
      </c>
      <c r="F62" s="247">
        <f>F21+F28+F35+F42</f>
        <v/>
      </c>
      <c r="G62" s="247">
        <f>G21+G28+G35+G42</f>
        <v/>
      </c>
      <c r="H62" s="247">
        <f>H21+H28+H35+H42</f>
        <v/>
      </c>
      <c r="I62" s="247">
        <f>I21+I28+I35+I42</f>
        <v/>
      </c>
      <c r="J62" s="247">
        <f>J21+J28+J35+J42</f>
        <v/>
      </c>
      <c r="K62" s="247">
        <f>K21+K28+K35+K42</f>
        <v/>
      </c>
      <c r="L62" s="247">
        <f>L21+L28+L35+L42</f>
        <v/>
      </c>
      <c r="M62" s="247">
        <f>M21+M28+M35+M42</f>
        <v/>
      </c>
      <c r="N62" s="179">
        <f>SUM(C62:M62)</f>
        <v/>
      </c>
    </row>
    <row r="63" ht="15" customHeight="1" s="133">
      <c r="A63" s="146" t="inlineStr">
        <is>
          <t>Issuance Fees (0.5%)</t>
        </is>
      </c>
      <c r="C63" s="247">
        <f>C22+C29+C36+C43</f>
        <v/>
      </c>
      <c r="D63" s="247">
        <f>D22+D29+D36+D43</f>
        <v/>
      </c>
      <c r="E63" s="247">
        <f>E22+E29+E36+E43</f>
        <v/>
      </c>
      <c r="F63" s="247">
        <f>F22+F29+F36+F43</f>
        <v/>
      </c>
      <c r="G63" s="247">
        <f>G22+G29+G36+G43</f>
        <v/>
      </c>
      <c r="H63" s="247">
        <f>H22+H29+H36+H43</f>
        <v/>
      </c>
      <c r="I63" s="247">
        <f>I22+I29+I36+I43</f>
        <v/>
      </c>
      <c r="J63" s="247">
        <f>J22+J29+J36+J43</f>
        <v/>
      </c>
      <c r="K63" s="247">
        <f>K22+K29+K36+K43</f>
        <v/>
      </c>
      <c r="L63" s="247">
        <f>L22+L29+L36+L43</f>
        <v/>
      </c>
      <c r="M63" s="247">
        <f>M22+M29+M36+M43</f>
        <v/>
      </c>
      <c r="N63" s="179">
        <f>SUM(C63:M63)</f>
        <v/>
      </c>
    </row>
    <row r="64" ht="15" customHeight="1" s="133">
      <c r="A64" s="146" t="inlineStr">
        <is>
          <t>Trading Fees (5 bps)</t>
        </is>
      </c>
      <c r="C64" s="247">
        <f>C23+C30+C37+C44</f>
        <v/>
      </c>
      <c r="D64" s="247">
        <f>D23+D30+D37+D44</f>
        <v/>
      </c>
      <c r="E64" s="247">
        <f>E23+E30+E37+E44</f>
        <v/>
      </c>
      <c r="F64" s="247">
        <f>F23+F30+F37+F44</f>
        <v/>
      </c>
      <c r="G64" s="247">
        <f>G23+G30+G37+G44</f>
        <v/>
      </c>
      <c r="H64" s="247">
        <f>H23+H30+H37+H44</f>
        <v/>
      </c>
      <c r="I64" s="247">
        <f>I23+I30+I37+I44</f>
        <v/>
      </c>
      <c r="J64" s="247">
        <f>J23+J30+J37+J44</f>
        <v/>
      </c>
      <c r="K64" s="247">
        <f>K23+K30+K37+K44</f>
        <v/>
      </c>
      <c r="L64" s="247">
        <f>L23+L30+L37+L44</f>
        <v/>
      </c>
      <c r="M64" s="247">
        <f>M23+M30+M37+M44</f>
        <v/>
      </c>
      <c r="N64" s="179">
        <f>SUM(C64:M64)</f>
        <v/>
      </c>
    </row>
    <row r="65" ht="15" customHeight="1" s="133">
      <c r="A65" s="146" t="inlineStr">
        <is>
          <t>Custody Fees (30 bps)</t>
        </is>
      </c>
      <c r="C65" s="247">
        <f>C24+C31+C38+C45</f>
        <v/>
      </c>
      <c r="D65" s="247">
        <f>D24+D31+D38+D45</f>
        <v/>
      </c>
      <c r="E65" s="247">
        <f>E24+E31+E38+E45</f>
        <v/>
      </c>
      <c r="F65" s="247">
        <f>F24+F31+F38+F45</f>
        <v/>
      </c>
      <c r="G65" s="247">
        <f>G24+G31+G38+G45</f>
        <v/>
      </c>
      <c r="H65" s="247">
        <f>H24+H31+H38+H45</f>
        <v/>
      </c>
      <c r="I65" s="247">
        <f>I24+I31+I38+I45</f>
        <v/>
      </c>
      <c r="J65" s="247">
        <f>J24+J31+J38+J45</f>
        <v/>
      </c>
      <c r="K65" s="247">
        <f>K24+K31+K38+K45</f>
        <v/>
      </c>
      <c r="L65" s="247">
        <f>L24+L31+L38+L45</f>
        <v/>
      </c>
      <c r="M65" s="247">
        <f>M24+M31+M38+M45</f>
        <v/>
      </c>
      <c r="N65" s="179">
        <f>SUM(C65:M65)</f>
        <v/>
      </c>
    </row>
    <row r="66" ht="15" customHeight="1" s="133">
      <c r="A66" s="146" t="inlineStr">
        <is>
          <t>SaaS + APIs</t>
        </is>
      </c>
      <c r="C66" s="247">
        <f>C25+C32+C39+C46</f>
        <v/>
      </c>
      <c r="D66" s="247">
        <f>D25+D32+D39+D46</f>
        <v/>
      </c>
      <c r="E66" s="247">
        <f>E25+E32+E39+E46</f>
        <v/>
      </c>
      <c r="F66" s="247">
        <f>F25+F32+F39+F46</f>
        <v/>
      </c>
      <c r="G66" s="247">
        <f>G25+G32+G39+G46</f>
        <v/>
      </c>
      <c r="H66" s="247">
        <f>H25+H32+H39+H46</f>
        <v/>
      </c>
      <c r="I66" s="247">
        <f>I25+I32+I39+I46</f>
        <v/>
      </c>
      <c r="J66" s="247">
        <f>J25+J32+J39+J46</f>
        <v/>
      </c>
      <c r="K66" s="247">
        <f>K25+K32+K39+K46</f>
        <v/>
      </c>
      <c r="L66" s="247">
        <f>L25+L32+L39+L46</f>
        <v/>
      </c>
      <c r="M66" s="247">
        <f>M25+M32+M39+M46</f>
        <v/>
      </c>
      <c r="N66" s="179">
        <f>SUM(C66:M66)</f>
        <v/>
      </c>
    </row>
    <row r="67" ht="15" customHeight="1" s="133">
      <c r="A67" s="146" t="inlineStr">
        <is>
          <t>(reserved)</t>
        </is>
      </c>
      <c r="C67" s="247" t="n">
        <v>0</v>
      </c>
      <c r="D67" s="247" t="n">
        <v>0</v>
      </c>
      <c r="E67" s="247" t="n">
        <v>0</v>
      </c>
      <c r="F67" s="247" t="n">
        <v>0</v>
      </c>
      <c r="G67" s="247" t="n">
        <v>0</v>
      </c>
      <c r="H67" s="247" t="n">
        <v>0</v>
      </c>
      <c r="I67" s="247" t="n">
        <v>0</v>
      </c>
      <c r="J67" s="247" t="n">
        <v>0</v>
      </c>
      <c r="K67" s="247" t="n">
        <v>0</v>
      </c>
      <c r="L67" s="247" t="n">
        <v>0</v>
      </c>
      <c r="M67" s="247" t="n">
        <v>0</v>
      </c>
      <c r="N67" s="179" t="n">
        <v>0</v>
      </c>
    </row>
    <row r="68" ht="15" customHeight="1" s="133">
      <c r="A68" s="131" t="inlineStr">
        <is>
          <t>(reserved 6th stream)</t>
        </is>
      </c>
      <c r="C68" s="189">
        <f>C55</f>
        <v/>
      </c>
      <c r="D68" s="189">
        <f>D55</f>
        <v/>
      </c>
      <c r="E68" s="189">
        <f>E55</f>
        <v/>
      </c>
      <c r="F68" s="189">
        <f>F55</f>
        <v/>
      </c>
      <c r="G68" s="189">
        <f>G55</f>
        <v/>
      </c>
      <c r="H68" s="189">
        <f>H55</f>
        <v/>
      </c>
      <c r="I68" s="189">
        <f>I55</f>
        <v/>
      </c>
      <c r="J68" s="189">
        <f>J55</f>
        <v/>
      </c>
      <c r="K68" s="189">
        <f>K55</f>
        <v/>
      </c>
      <c r="L68" s="189">
        <f>L55</f>
        <v/>
      </c>
      <c r="M68" s="189">
        <f>M55</f>
        <v/>
      </c>
      <c r="N68" s="189">
        <f>SUM(C68:M68)</f>
        <v/>
      </c>
    </row>
    <row r="69" ht="23.25" customHeight="1" s="133">
      <c r="A69" s="316" t="inlineStr">
        <is>
          <t>TOTAL</t>
        </is>
      </c>
      <c r="B69" s="321" t="n"/>
      <c r="C69" s="318">
        <f>C58</f>
        <v/>
      </c>
      <c r="D69" s="318">
        <f>D58</f>
        <v/>
      </c>
      <c r="E69" s="318">
        <f>E58</f>
        <v/>
      </c>
      <c r="F69" s="318">
        <f>F58</f>
        <v/>
      </c>
      <c r="G69" s="318">
        <f>G58</f>
        <v/>
      </c>
      <c r="H69" s="318">
        <f>H58</f>
        <v/>
      </c>
      <c r="I69" s="318">
        <f>I58</f>
        <v/>
      </c>
      <c r="J69" s="318">
        <f>J58</f>
        <v/>
      </c>
      <c r="K69" s="318">
        <f>K58</f>
        <v/>
      </c>
      <c r="L69" s="318">
        <f>L58</f>
        <v/>
      </c>
      <c r="M69" s="318">
        <f>M58</f>
        <v/>
      </c>
      <c r="N69" s="318">
        <f>SUM(C69:M69)</f>
        <v/>
      </c>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C00000"/>
    <outlinePr summaryBelow="1" summaryRight="1"/>
    <pageSetUpPr fitToPage="0"/>
  </sheetPr>
  <dimension ref="A1:N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N26" activeCellId="0" sqref="N26"/>
    </sheetView>
  </sheetViews>
  <sheetFormatPr baseColWidth="8" defaultColWidth="8.66796875" defaultRowHeight="15" customHeight="0" zeroHeight="0" outlineLevelRow="0"/>
  <cols>
    <col width="38" customWidth="1" style="131" min="1" max="1"/>
    <col width="13.5" customWidth="1" style="131" min="2" max="12"/>
    <col width="20.33" customWidth="1" style="131" min="13" max="13"/>
    <col width="36" customWidth="1" style="131" min="14" max="14"/>
  </cols>
  <sheetData>
    <row r="1" ht="48" customFormat="1" customHeight="1" s="141">
      <c r="A1" s="142" t="inlineStr">
        <is>
          <t>4ORM FINANCE - 5-YEAR P&amp;L | Lean BUILD | 5 STREAMS + 4 FIs + (reserved) | SEMI-ANNUAL</t>
        </is>
      </c>
    </row>
    <row r="2" ht="15" customHeight="1" s="133">
      <c r="A2" s="143" t="inlineStr">
        <is>
          <t>All revenue formulas reference Revenue Model sheet. Expenses reference DevEx and OpEx sheets. | Semi-annual periods.</t>
        </is>
      </c>
    </row>
    <row r="4" ht="15" customHeight="1" s="133">
      <c r="A4" s="144" t="inlineStr">
        <is>
          <t>Line Item</t>
        </is>
      </c>
      <c r="B4" s="144" t="inlineStr">
        <is>
          <t>H2 2026</t>
        </is>
      </c>
      <c r="C4" s="144" t="inlineStr">
        <is>
          <t>H1 2027</t>
        </is>
      </c>
      <c r="D4" s="144" t="inlineStr">
        <is>
          <t>H2 2027</t>
        </is>
      </c>
      <c r="E4" s="144" t="inlineStr">
        <is>
          <t>H1 2028</t>
        </is>
      </c>
      <c r="F4" s="144" t="inlineStr">
        <is>
          <t>H2 2028</t>
        </is>
      </c>
      <c r="G4" s="144" t="inlineStr">
        <is>
          <t>H1 2029</t>
        </is>
      </c>
      <c r="H4" s="144" t="inlineStr">
        <is>
          <t>H2 2029</t>
        </is>
      </c>
      <c r="I4" s="144" t="inlineStr">
        <is>
          <t>H1 2030</t>
        </is>
      </c>
      <c r="J4" s="144" t="inlineStr">
        <is>
          <t>H2 2030</t>
        </is>
      </c>
      <c r="K4" s="144" t="inlineStr">
        <is>
          <t>H1 2031</t>
        </is>
      </c>
      <c r="L4" s="144" t="inlineStr">
        <is>
          <t>H2 2031</t>
        </is>
      </c>
      <c r="M4" s="144" t="inlineStr">
        <is>
          <t>5-Year Total</t>
        </is>
      </c>
      <c r="N4" s="144" t="inlineStr">
        <is>
          <t>Notes</t>
        </is>
      </c>
    </row>
    <row r="5" ht="15" customHeight="1" s="133">
      <c r="A5" s="314" t="inlineStr">
        <is>
          <t>REVENUE</t>
        </is>
      </c>
      <c r="B5" s="145" t="n"/>
      <c r="C5" s="145" t="n"/>
      <c r="D5" s="145" t="n"/>
      <c r="E5" s="145" t="n"/>
      <c r="F5" s="145" t="n"/>
      <c r="G5" s="145" t="n"/>
      <c r="H5" s="145" t="n"/>
      <c r="I5" s="145" t="n"/>
      <c r="J5" s="145" t="n"/>
      <c r="K5" s="145" t="n"/>
      <c r="L5" s="145" t="n"/>
      <c r="M5" s="145" t="n"/>
      <c r="N5" s="145" t="n"/>
    </row>
    <row r="6" ht="15" customHeight="1" s="133">
      <c r="A6" s="146" t="inlineStr">
        <is>
          <t>Settlement Fees (1.5 bps, 4ORM 30%)</t>
        </is>
      </c>
      <c r="B6" s="199">
        <f>'Revenue Model'!C62</f>
        <v/>
      </c>
      <c r="C6" s="199">
        <f>'Revenue Model'!D62</f>
        <v/>
      </c>
      <c r="D6" s="199">
        <f>'Revenue Model'!E62</f>
        <v/>
      </c>
      <c r="E6" s="199">
        <f>'Revenue Model'!F62</f>
        <v/>
      </c>
      <c r="F6" s="199">
        <f>'Revenue Model'!G62</f>
        <v/>
      </c>
      <c r="G6" s="199">
        <f>'Revenue Model'!H62</f>
        <v/>
      </c>
      <c r="H6" s="199">
        <f>'Revenue Model'!I62</f>
        <v/>
      </c>
      <c r="I6" s="199">
        <f>'Revenue Model'!J62</f>
        <v/>
      </c>
      <c r="J6" s="199">
        <f>'Revenue Model'!K62</f>
        <v/>
      </c>
      <c r="K6" s="199">
        <f>'Revenue Model'!L62</f>
        <v/>
      </c>
      <c r="L6" s="199">
        <f>'Revenue Model'!M62</f>
        <v/>
      </c>
      <c r="M6" s="179">
        <f>SUM(B6:L6)</f>
        <v/>
      </c>
    </row>
    <row r="7" ht="15" customHeight="1" s="133">
      <c r="A7" s="146" t="inlineStr">
        <is>
          <t>Issuance Fees (0.5%, 4ORM 60%)</t>
        </is>
      </c>
      <c r="B7" s="199">
        <f>'Revenue Model'!C63</f>
        <v/>
      </c>
      <c r="C7" s="199">
        <f>'Revenue Model'!D63</f>
        <v/>
      </c>
      <c r="D7" s="199">
        <f>'Revenue Model'!E63</f>
        <v/>
      </c>
      <c r="E7" s="199">
        <f>'Revenue Model'!F63</f>
        <v/>
      </c>
      <c r="F7" s="199">
        <f>'Revenue Model'!G63</f>
        <v/>
      </c>
      <c r="G7" s="199">
        <f>'Revenue Model'!H63</f>
        <v/>
      </c>
      <c r="H7" s="199">
        <f>'Revenue Model'!I63</f>
        <v/>
      </c>
      <c r="I7" s="199">
        <f>'Revenue Model'!J63</f>
        <v/>
      </c>
      <c r="J7" s="199">
        <f>'Revenue Model'!K63</f>
        <v/>
      </c>
      <c r="K7" s="199">
        <f>'Revenue Model'!L63</f>
        <v/>
      </c>
      <c r="L7" s="199">
        <f>'Revenue Model'!M63</f>
        <v/>
      </c>
      <c r="M7" s="179">
        <f>SUM(B7:L7)</f>
        <v/>
      </c>
    </row>
    <row r="8" ht="15" customHeight="1" s="133">
      <c r="A8" s="146" t="inlineStr">
        <is>
          <t>Trading Fees (5 bps, 4ORM 100%)</t>
        </is>
      </c>
      <c r="B8" s="199">
        <f>'Revenue Model'!C64</f>
        <v/>
      </c>
      <c r="C8" s="199">
        <f>'Revenue Model'!D64</f>
        <v/>
      </c>
      <c r="D8" s="199">
        <f>'Revenue Model'!E64</f>
        <v/>
      </c>
      <c r="E8" s="199">
        <f>'Revenue Model'!F64</f>
        <v/>
      </c>
      <c r="F8" s="199">
        <f>'Revenue Model'!G64</f>
        <v/>
      </c>
      <c r="G8" s="199">
        <f>'Revenue Model'!H64</f>
        <v/>
      </c>
      <c r="H8" s="199">
        <f>'Revenue Model'!I64</f>
        <v/>
      </c>
      <c r="I8" s="199">
        <f>'Revenue Model'!J64</f>
        <v/>
      </c>
      <c r="J8" s="199">
        <f>'Revenue Model'!K64</f>
        <v/>
      </c>
      <c r="K8" s="199">
        <f>'Revenue Model'!L64</f>
        <v/>
      </c>
      <c r="L8" s="199">
        <f>'Revenue Model'!M64</f>
        <v/>
      </c>
      <c r="M8" s="179">
        <f>SUM(B8:L8)</f>
        <v/>
      </c>
    </row>
    <row r="9" ht="15" customHeight="1" s="133">
      <c r="A9" s="146" t="inlineStr">
        <is>
          <t>Custody Fees (30 bps, 4ORM 40%)</t>
        </is>
      </c>
      <c r="B9" s="199">
        <f>'Revenue Model'!C65</f>
        <v/>
      </c>
      <c r="C9" s="199">
        <f>'Revenue Model'!D65</f>
        <v/>
      </c>
      <c r="D9" s="199">
        <f>'Revenue Model'!E65</f>
        <v/>
      </c>
      <c r="E9" s="199">
        <f>'Revenue Model'!F65</f>
        <v/>
      </c>
      <c r="F9" s="199">
        <f>'Revenue Model'!G65</f>
        <v/>
      </c>
      <c r="G9" s="199">
        <f>'Revenue Model'!H65</f>
        <v/>
      </c>
      <c r="H9" s="199">
        <f>'Revenue Model'!I65</f>
        <v/>
      </c>
      <c r="I9" s="199">
        <f>'Revenue Model'!J65</f>
        <v/>
      </c>
      <c r="J9" s="199">
        <f>'Revenue Model'!K65</f>
        <v/>
      </c>
      <c r="K9" s="199">
        <f>'Revenue Model'!L65</f>
        <v/>
      </c>
      <c r="L9" s="199">
        <f>'Revenue Model'!M65</f>
        <v/>
      </c>
      <c r="M9" s="179">
        <f>SUM(B9:L9)</f>
        <v/>
      </c>
    </row>
    <row r="10" ht="15" customHeight="1" s="133">
      <c r="A10" s="146" t="inlineStr">
        <is>
          <t>SaaS + APIs ($25K/mo, 4ORM 80%)</t>
        </is>
      </c>
      <c r="B10" s="199">
        <f>'Revenue Model'!C66</f>
        <v/>
      </c>
      <c r="C10" s="199">
        <f>'Revenue Model'!D66</f>
        <v/>
      </c>
      <c r="D10" s="199">
        <f>'Revenue Model'!E66</f>
        <v/>
      </c>
      <c r="E10" s="199">
        <f>'Revenue Model'!F66</f>
        <v/>
      </c>
      <c r="F10" s="199">
        <f>'Revenue Model'!G66</f>
        <v/>
      </c>
      <c r="G10" s="199">
        <f>'Revenue Model'!H66</f>
        <v/>
      </c>
      <c r="H10" s="199">
        <f>'Revenue Model'!I66</f>
        <v/>
      </c>
      <c r="I10" s="199">
        <f>'Revenue Model'!J66</f>
        <v/>
      </c>
      <c r="J10" s="199">
        <f>'Revenue Model'!K66</f>
        <v/>
      </c>
      <c r="K10" s="199">
        <f>'Revenue Model'!L66</f>
        <v/>
      </c>
      <c r="L10" s="199">
        <f>'Revenue Model'!M66</f>
        <v/>
      </c>
      <c r="M10" s="179">
        <f>SUM(B10:L10)</f>
        <v/>
      </c>
    </row>
    <row r="11" ht="15" customHeight="1" s="133">
      <c r="A11" s="146" t="inlineStr">
        <is>
          <t>(reserved)</t>
        </is>
      </c>
      <c r="B11" s="199">
        <f>'Revenue Model'!C67</f>
        <v/>
      </c>
      <c r="C11" s="199">
        <f>'Revenue Model'!D67</f>
        <v/>
      </c>
      <c r="D11" s="199">
        <f>'Revenue Model'!E67</f>
        <v/>
      </c>
      <c r="E11" s="199">
        <f>'Revenue Model'!F67</f>
        <v/>
      </c>
      <c r="F11" s="199">
        <f>'Revenue Model'!G67</f>
        <v/>
      </c>
      <c r="G11" s="199">
        <f>'Revenue Model'!H67</f>
        <v/>
      </c>
      <c r="H11" s="199">
        <f>'Revenue Model'!I67</f>
        <v/>
      </c>
      <c r="I11" s="199">
        <f>'Revenue Model'!J67</f>
        <v/>
      </c>
      <c r="J11" s="199">
        <f>'Revenue Model'!K67</f>
        <v/>
      </c>
      <c r="K11" s="199">
        <f>'Revenue Model'!L67</f>
        <v/>
      </c>
      <c r="L11" s="199">
        <f>'Revenue Model'!M67</f>
        <v/>
      </c>
      <c r="M11" s="179">
        <f>SUM(B11:L11)</f>
        <v/>
      </c>
    </row>
    <row r="12" ht="15" customHeight="1" s="133">
      <c r="A12" s="131" t="inlineStr">
        <is>
          <t>(Reserved 6th Stream)</t>
        </is>
      </c>
      <c r="B12" s="189">
        <f>'Revenue Model'!C68</f>
        <v/>
      </c>
      <c r="C12" s="189">
        <f>'Revenue Model'!D68</f>
        <v/>
      </c>
      <c r="D12" s="189">
        <f>'Revenue Model'!E68</f>
        <v/>
      </c>
      <c r="E12" s="189">
        <f>'Revenue Model'!F68</f>
        <v/>
      </c>
      <c r="F12" s="189">
        <f>'Revenue Model'!G68</f>
        <v/>
      </c>
      <c r="G12" s="189">
        <f>'Revenue Model'!H68</f>
        <v/>
      </c>
      <c r="H12" s="189">
        <f>'Revenue Model'!I68</f>
        <v/>
      </c>
      <c r="I12" s="189">
        <f>'Revenue Model'!J68</f>
        <v/>
      </c>
      <c r="J12" s="189">
        <f>'Revenue Model'!K68</f>
        <v/>
      </c>
      <c r="K12" s="189">
        <f>'Revenue Model'!L68</f>
        <v/>
      </c>
      <c r="L12" s="189">
        <f>'Revenue Model'!M68</f>
        <v/>
      </c>
      <c r="M12" s="189">
        <f>SUM(B12:L12)</f>
        <v/>
      </c>
      <c r="N12" s="131" t="inlineStr">
        <is>
          <t>New: value-based pricing on verified settlement savings</t>
        </is>
      </c>
    </row>
    <row r="13" ht="15" customHeight="1" s="133">
      <c r="A13" s="321" t="inlineStr">
        <is>
          <t>TOTAL REVENUE</t>
        </is>
      </c>
      <c r="B13" s="318">
        <f>B6+B7+B8+B9+B10+B11+B12</f>
        <v/>
      </c>
      <c r="C13" s="318">
        <f>C6+C7+C8+C9+C10+C11+C12</f>
        <v/>
      </c>
      <c r="D13" s="318">
        <f>D6+D7+D8+D9+D10+D11+D12</f>
        <v/>
      </c>
      <c r="E13" s="318">
        <f>E6+E7+E8+E9+E10+E11+E12</f>
        <v/>
      </c>
      <c r="F13" s="318">
        <f>F6+F7+F8+F9+F10+F11+F12</f>
        <v/>
      </c>
      <c r="G13" s="318">
        <f>G6+G7+G8+G9+G10+G11+G12</f>
        <v/>
      </c>
      <c r="H13" s="318">
        <f>H6+H7+H8+H9+H10+H11+H12</f>
        <v/>
      </c>
      <c r="I13" s="318">
        <f>I6+I7+I8+I9+I10+I11+I12</f>
        <v/>
      </c>
      <c r="J13" s="318">
        <f>J6+J7+J8+J9+J10+J11+J12</f>
        <v/>
      </c>
      <c r="K13" s="318">
        <f>K6+K7+K8+K9+K10+K11+K12</f>
        <v/>
      </c>
      <c r="L13" s="318">
        <f>L6+L7+L8+L9+L10+L11+L12</f>
        <v/>
      </c>
      <c r="M13" s="318">
        <f>SUM(B13:L13)</f>
        <v/>
      </c>
      <c r="N13" s="321" t="n"/>
    </row>
    <row r="14" ht="15" customHeight="1" s="133">
      <c r="A14" s="315" t="inlineStr">
        <is>
          <t>NON-DILUTIVE CAPITAL / GRANTS</t>
        </is>
      </c>
      <c r="B14" s="250" t="n"/>
      <c r="C14" s="250" t="n"/>
      <c r="D14" s="250" t="n"/>
      <c r="E14" s="250" t="n"/>
      <c r="F14" s="250" t="n"/>
      <c r="G14" s="250" t="n"/>
      <c r="H14" s="250" t="n"/>
      <c r="I14" s="250" t="n"/>
      <c r="J14" s="250" t="n"/>
      <c r="K14" s="250" t="n"/>
      <c r="L14" s="250" t="n"/>
      <c r="M14" s="250" t="n"/>
    </row>
    <row r="15" ht="15" customHeight="1" s="133">
      <c r="A15" s="316" t="inlineStr">
        <is>
          <t>Total Grant Income (Toggled Programs)</t>
        </is>
      </c>
      <c r="B15" s="318">
        <f>'Control Panel'!C134</f>
        <v/>
      </c>
      <c r="C15" s="318">
        <f>'Control Panel'!D134</f>
        <v/>
      </c>
      <c r="D15" s="318">
        <f>'Control Panel'!E134</f>
        <v/>
      </c>
      <c r="E15" s="318">
        <f>'Control Panel'!F134</f>
        <v/>
      </c>
      <c r="F15" s="318">
        <f>'Control Panel'!G134</f>
        <v/>
      </c>
      <c r="G15" s="318">
        <f>'Control Panel'!H134</f>
        <v/>
      </c>
      <c r="H15" s="318">
        <f>'Control Panel'!I134</f>
        <v/>
      </c>
      <c r="I15" s="318">
        <f>'Control Panel'!J134</f>
        <v/>
      </c>
      <c r="J15" s="318">
        <f>'Control Panel'!K134</f>
        <v/>
      </c>
      <c r="K15" s="318">
        <f>'Control Panel'!L134</f>
        <v/>
      </c>
      <c r="L15" s="318">
        <f>'Control Panel'!M134</f>
        <v/>
      </c>
      <c r="M15" s="318">
        <f>SUM(B15:L15)</f>
        <v/>
      </c>
    </row>
    <row r="16" ht="15" customHeight="1" s="133">
      <c r="A16" s="316" t="inlineStr">
        <is>
          <t>TOTAL REVENUE + GRANTS</t>
        </is>
      </c>
      <c r="B16" s="318">
        <f>B13+B15</f>
        <v/>
      </c>
      <c r="C16" s="318">
        <f>C13+C15</f>
        <v/>
      </c>
      <c r="D16" s="318">
        <f>D13+D15</f>
        <v/>
      </c>
      <c r="E16" s="318">
        <f>E13+E15</f>
        <v/>
      </c>
      <c r="F16" s="318">
        <f>F13+F15</f>
        <v/>
      </c>
      <c r="G16" s="318">
        <f>G13+G15</f>
        <v/>
      </c>
      <c r="H16" s="318">
        <f>H13+H15</f>
        <v/>
      </c>
      <c r="I16" s="318">
        <f>I13+I15</f>
        <v/>
      </c>
      <c r="J16" s="318">
        <f>J13+J15</f>
        <v/>
      </c>
      <c r="K16" s="318">
        <f>K13+K15</f>
        <v/>
      </c>
      <c r="L16" s="318">
        <f>L13+L15</f>
        <v/>
      </c>
      <c r="M16" s="318">
        <f>SUM(B16:L16)</f>
        <v/>
      </c>
      <c r="N16" s="322" t="n"/>
    </row>
    <row r="17" ht="15" customHeight="1" s="133"/>
    <row r="18" ht="15" customHeight="1" s="133">
      <c r="A18" s="314" t="inlineStr">
        <is>
          <t>DEVELOPMENT EXPENSES (DevEx)</t>
        </is>
      </c>
      <c r="B18" s="151" t="n"/>
      <c r="C18" s="151" t="n"/>
      <c r="D18" s="151" t="n"/>
      <c r="E18" s="151" t="n"/>
      <c r="F18" s="151" t="n"/>
      <c r="G18" s="151" t="n"/>
      <c r="H18" s="151" t="n"/>
      <c r="I18" s="151" t="n"/>
      <c r="J18" s="151" t="n"/>
      <c r="K18" s="151" t="n"/>
      <c r="L18" s="151" t="n"/>
      <c r="M18" s="151" t="n"/>
      <c r="N18" s="151" t="n"/>
    </row>
    <row r="19" ht="15" customHeight="1" s="133">
      <c r="A19" s="321" t="inlineStr">
        <is>
          <t>TOTAL DevEx (scenario per CP B20)</t>
        </is>
      </c>
      <c r="B19" s="318">
        <f>IF('Control Panel'!$B$20=1,'DevEx - Build Costs'!C35,'DevEx - Build Costs'!C36)</f>
        <v/>
      </c>
      <c r="C19" s="318">
        <f>IF('Control Panel'!$B$20=1,'DevEx - Build Costs'!D35,'DevEx - Build Costs'!D36)</f>
        <v/>
      </c>
      <c r="D19" s="318">
        <f>IF('Control Panel'!$B$20=1,'DevEx - Build Costs'!E35,'DevEx - Build Costs'!E36)</f>
        <v/>
      </c>
      <c r="E19" s="318">
        <f>IF('Control Panel'!$B$20=1,'DevEx - Build Costs'!F35,'DevEx - Build Costs'!F36)</f>
        <v/>
      </c>
      <c r="F19" s="318">
        <f>IF('Control Panel'!$B$20=1,'DevEx - Build Costs'!G35,'DevEx - Build Costs'!G36)</f>
        <v/>
      </c>
      <c r="G19" s="318">
        <f>IF('Control Panel'!$B$20=1,'DevEx - Build Costs'!H35,'DevEx - Build Costs'!H36)</f>
        <v/>
      </c>
      <c r="H19" s="318">
        <f>IF('Control Panel'!$B$20=1,'DevEx - Build Costs'!I35,'DevEx - Build Costs'!I36)</f>
        <v/>
      </c>
      <c r="I19" s="318">
        <f>IF('Control Panel'!$B$20=1,'DevEx - Build Costs'!J35,'DevEx - Build Costs'!J36)</f>
        <v/>
      </c>
      <c r="J19" s="318">
        <f>IF('Control Panel'!$B$20=1,'DevEx - Build Costs'!K35,'DevEx - Build Costs'!K36)</f>
        <v/>
      </c>
      <c r="K19" s="318">
        <f>IF('Control Panel'!$B$20=1,'DevEx - Build Costs'!L35,'DevEx - Build Costs'!L36)</f>
        <v/>
      </c>
      <c r="L19" s="318">
        <f>IF('Control Panel'!$B$20=1,'DevEx - Build Costs'!M35,'DevEx - Build Costs'!M36)</f>
        <v/>
      </c>
      <c r="M19" s="318">
        <f>SUM(B19:L19)</f>
        <v/>
      </c>
      <c r="N19" s="216" t="n"/>
    </row>
    <row r="20" ht="15" customHeight="1" s="133"/>
    <row r="21" ht="15" customHeight="1" s="133">
      <c r="A21" s="315" t="inlineStr">
        <is>
          <t>OPERATING EXPENSES (OpEx)</t>
        </is>
      </c>
      <c r="B21" s="151" t="n"/>
      <c r="C21" s="151" t="n"/>
      <c r="D21" s="151" t="n"/>
      <c r="E21" s="151" t="n"/>
      <c r="F21" s="151" t="n"/>
      <c r="G21" s="151" t="n"/>
      <c r="H21" s="151" t="n"/>
      <c r="I21" s="151" t="n"/>
      <c r="J21" s="151" t="n"/>
      <c r="K21" s="151" t="n"/>
      <c r="L21" s="151" t="n"/>
      <c r="M21" s="151" t="n"/>
      <c r="N21" s="150" t="n"/>
    </row>
    <row r="22" ht="23.25" customHeight="1" s="133">
      <c r="A22" s="321" t="inlineStr">
        <is>
          <t>TOTAL OpEx (scenario per CP B20)</t>
        </is>
      </c>
      <c r="B22" s="318">
        <f>IF('Control Panel'!$B$20=1,'OpEx - Ongoing'!C38,'OpEx - Ongoing'!C39)</f>
        <v/>
      </c>
      <c r="C22" s="318">
        <f>IF('Control Panel'!$B$20=1,'OpEx - Ongoing'!D38,'OpEx - Ongoing'!D39)</f>
        <v/>
      </c>
      <c r="D22" s="318">
        <f>IF('Control Panel'!$B$20=1,'OpEx - Ongoing'!E38,'OpEx - Ongoing'!E39)</f>
        <v/>
      </c>
      <c r="E22" s="318">
        <f>IF('Control Panel'!$B$20=1,'OpEx - Ongoing'!F38,'OpEx - Ongoing'!F39)</f>
        <v/>
      </c>
      <c r="F22" s="318">
        <f>IF('Control Panel'!$B$20=1,'OpEx - Ongoing'!G38,'OpEx - Ongoing'!G39)</f>
        <v/>
      </c>
      <c r="G22" s="318">
        <f>IF('Control Panel'!$B$20=1,'OpEx - Ongoing'!H38,'OpEx - Ongoing'!H39)</f>
        <v/>
      </c>
      <c r="H22" s="318">
        <f>IF('Control Panel'!$B$20=1,'OpEx - Ongoing'!I38,'OpEx - Ongoing'!I39)</f>
        <v/>
      </c>
      <c r="I22" s="318">
        <f>IF('Control Panel'!$B$20=1,'OpEx - Ongoing'!J38,'OpEx - Ongoing'!J39)</f>
        <v/>
      </c>
      <c r="J22" s="318">
        <f>IF('Control Panel'!$B$20=1,'OpEx - Ongoing'!K38,'OpEx - Ongoing'!K39)</f>
        <v/>
      </c>
      <c r="K22" s="318">
        <f>IF('Control Panel'!$B$20=1,'OpEx - Ongoing'!L38,'OpEx - Ongoing'!L39)</f>
        <v/>
      </c>
      <c r="L22" s="318">
        <f>IF('Control Panel'!$B$20=1,'OpEx - Ongoing'!M38,'OpEx - Ongoing'!M39)</f>
        <v/>
      </c>
      <c r="M22" s="318">
        <f>SUM(B22:L22)</f>
        <v/>
      </c>
      <c r="N22" s="216" t="n"/>
    </row>
    <row r="23" ht="15" customHeight="1" s="133"/>
    <row r="24" ht="23.25" customHeight="1" s="133">
      <c r="A24" s="321" t="inlineStr">
        <is>
          <t>TOTAL ALL EXPENSES</t>
        </is>
      </c>
      <c r="B24" s="318">
        <f>B19+B22</f>
        <v/>
      </c>
      <c r="C24" s="318">
        <f>C19+C22</f>
        <v/>
      </c>
      <c r="D24" s="318">
        <f>D19+D22</f>
        <v/>
      </c>
      <c r="E24" s="318">
        <f>E19+E22</f>
        <v/>
      </c>
      <c r="F24" s="318">
        <f>F19+F22</f>
        <v/>
      </c>
      <c r="G24" s="318">
        <f>G19+G22</f>
        <v/>
      </c>
      <c r="H24" s="318">
        <f>H19+H22</f>
        <v/>
      </c>
      <c r="I24" s="318">
        <f>I19+I22</f>
        <v/>
      </c>
      <c r="J24" s="318">
        <f>J19+J22</f>
        <v/>
      </c>
      <c r="K24" s="318">
        <f>K19+K22</f>
        <v/>
      </c>
      <c r="L24" s="318">
        <f>L19+L22</f>
        <v/>
      </c>
      <c r="M24" s="318">
        <f>SUM(B24:L24)</f>
        <v/>
      </c>
      <c r="N24" s="321" t="n"/>
    </row>
    <row r="25" ht="23.25" customHeight="1" s="133"/>
    <row r="26" ht="15" customHeight="1" s="133">
      <c r="A26" s="321" t="inlineStr">
        <is>
          <t>NET PROFIT (LOSS)</t>
        </is>
      </c>
      <c r="B26" s="318">
        <f>B16-B24</f>
        <v/>
      </c>
      <c r="C26" s="318">
        <f>C16-C24</f>
        <v/>
      </c>
      <c r="D26" s="318">
        <f>D16-D24</f>
        <v/>
      </c>
      <c r="E26" s="318">
        <f>E16-E24</f>
        <v/>
      </c>
      <c r="F26" s="318">
        <f>F16-F24</f>
        <v/>
      </c>
      <c r="G26" s="318">
        <f>G16-G24</f>
        <v/>
      </c>
      <c r="H26" s="318">
        <f>H16-H24</f>
        <v/>
      </c>
      <c r="I26" s="318">
        <f>I16-I24</f>
        <v/>
      </c>
      <c r="J26" s="318">
        <f>J16-J24</f>
        <v/>
      </c>
      <c r="K26" s="318">
        <f>K16-K24</f>
        <v/>
      </c>
      <c r="L26" s="318">
        <f>L16-L24</f>
        <v/>
      </c>
      <c r="M26" s="318">
        <f>SUM(B26:L26)</f>
        <v/>
      </c>
      <c r="N26" s="321" t="n"/>
    </row>
    <row r="27" ht="23.25" customHeight="1" s="133">
      <c r="A27" s="321" t="inlineStr">
        <is>
          <t>Net Margin %</t>
        </is>
      </c>
      <c r="B27" s="324">
        <f>IF(B16=0,0,B26/B16)</f>
        <v/>
      </c>
      <c r="C27" s="324">
        <f>IF(C16=0,0,C26/C16)</f>
        <v/>
      </c>
      <c r="D27" s="324">
        <f>IF(D16=0,0,D26/D16)</f>
        <v/>
      </c>
      <c r="E27" s="324">
        <f>IF(E16=0,0,E26/E16)</f>
        <v/>
      </c>
      <c r="F27" s="324">
        <f>IF(F16=0,0,F26/F16)</f>
        <v/>
      </c>
      <c r="G27" s="324">
        <f>IF(G16=0,0,G26/G16)</f>
        <v/>
      </c>
      <c r="H27" s="324">
        <f>IF(H16=0,0,H26/H16)</f>
        <v/>
      </c>
      <c r="I27" s="324">
        <f>IF(I16=0,0,I26/I16)</f>
        <v/>
      </c>
      <c r="J27" s="324">
        <f>IF(J16=0,0,J26/J16)</f>
        <v/>
      </c>
      <c r="K27" s="324">
        <f>IF(K16=0,0,K26/K16)</f>
        <v/>
      </c>
      <c r="L27" s="324">
        <f>IF(L16=0,0,L26/L16)</f>
        <v/>
      </c>
      <c r="M27" s="324">
        <f>IF(M16=0,0,M26/M16)</f>
        <v/>
      </c>
    </row>
    <row r="28" ht="15" customHeight="1" s="133">
      <c r="A28" s="321" t="inlineStr">
        <is>
          <t>Cumulative Net Income (Loss)</t>
        </is>
      </c>
      <c r="B28" s="318">
        <f>B26</f>
        <v/>
      </c>
      <c r="C28" s="318">
        <f>B28+C26</f>
        <v/>
      </c>
      <c r="D28" s="318">
        <f>C28+D26</f>
        <v/>
      </c>
      <c r="E28" s="318">
        <f>D28+E26</f>
        <v/>
      </c>
      <c r="F28" s="318">
        <f>E28+F26</f>
        <v/>
      </c>
      <c r="G28" s="318">
        <f>F28+G26</f>
        <v/>
      </c>
      <c r="H28" s="318">
        <f>G28+H26</f>
        <v/>
      </c>
      <c r="I28" s="318">
        <f>H28+I26</f>
        <v/>
      </c>
      <c r="J28" s="318">
        <f>I28+J26</f>
        <v/>
      </c>
      <c r="K28" s="318">
        <f>J28+K26</f>
        <v/>
      </c>
      <c r="L28" s="318">
        <f>K28+L26</f>
        <v/>
      </c>
      <c r="M28" s="318">
        <f>L28</f>
        <v/>
      </c>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F4E79"/>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32" customWidth="1" style="131" min="1" max="1"/>
    <col width="20" customWidth="1" style="131" min="2" max="5"/>
    <col width="12" customWidth="1" style="131" min="6" max="6"/>
    <col width="38" customWidth="1" style="131" min="7" max="7"/>
  </cols>
  <sheetData>
    <row r="1" ht="45.75" customFormat="1" customHeight="1" s="141">
      <c r="A1" s="142" t="inlineStr">
        <is>
          <t>4ORM FINANCE - ONDO FINANCE BENCHMARK COMPARISON</t>
        </is>
      </c>
    </row>
    <row r="2" ht="15" customHeight="1" s="133">
      <c r="A2" s="143" t="inlineStr">
        <is>
          <t>Ondo (~50-100 employees, $3.6B TVL) vs 4ORM at multi-FI trajectory | Sources: Tracxn, DefiLlama, PitchBook</t>
        </is>
      </c>
    </row>
    <row r="4" ht="15" customHeight="1" s="133">
      <c r="A4" s="144" t="inlineStr">
        <is>
          <t>Metric</t>
        </is>
      </c>
      <c r="B4" s="144" t="inlineStr">
        <is>
          <t>Ondo Finance</t>
        </is>
      </c>
      <c r="C4" s="144" t="inlineStr">
        <is>
          <t>4ORM Year 1</t>
        </is>
      </c>
      <c r="D4" s="144" t="inlineStr">
        <is>
          <t>4ORM Year 3</t>
        </is>
      </c>
      <c r="E4" s="144" t="inlineStr">
        <is>
          <t>4ORM Year 5</t>
        </is>
      </c>
      <c r="F4" s="144" t="inlineStr">
        <is>
          <t>Ratio</t>
        </is>
      </c>
      <c r="G4" s="144" t="inlineStr">
        <is>
          <t>Notes</t>
        </is>
      </c>
    </row>
    <row r="5" ht="15" customHeight="1" s="133">
      <c r="A5" s="325" t="inlineStr">
        <is>
          <t>Total Employees</t>
        </is>
      </c>
      <c r="B5" s="326" t="inlineStr">
        <is>
          <t>50-100</t>
        </is>
      </c>
      <c r="C5" s="326" t="inlineStr">
        <is>
          <t>12 (Lean) / 18 (Trad)</t>
        </is>
      </c>
      <c r="D5" s="326" t="inlineStr">
        <is>
          <t>22 (Lean) / 28 (Trad)</t>
        </is>
      </c>
      <c r="E5" s="326" t="inlineStr">
        <is>
          <t>26 (Lean) / 33 (Trad)</t>
        </is>
      </c>
      <c r="F5" s="326" t="inlineStr">
        <is>
          <t>~3x</t>
        </is>
      </c>
      <c r="G5" s="327" t="inlineStr">
        <is>
          <t>Lean build = 35% fewer eng roles</t>
        </is>
      </c>
    </row>
    <row r="6" ht="15" customHeight="1" s="133">
      <c r="A6" s="328" t="inlineStr">
        <is>
          <t>Engineering Team</t>
        </is>
      </c>
      <c r="B6" s="329" t="inlineStr">
        <is>
          <t>25-40</t>
        </is>
      </c>
      <c r="C6" s="329" t="inlineStr">
        <is>
          <t>5</t>
        </is>
      </c>
      <c r="D6" s="329" t="inlineStr">
        <is>
          <t>9</t>
        </is>
      </c>
      <c r="E6" s="329" t="inlineStr">
        <is>
          <t>11</t>
        </is>
      </c>
      <c r="F6" s="329" t="inlineStr">
        <is>
          <t>~3x</t>
        </is>
      </c>
      <c r="G6" s="330" t="inlineStr">
        <is>
          <t>4ORM efficiency-augmented dev</t>
        </is>
      </c>
    </row>
    <row r="7" ht="15" customHeight="1" s="133">
      <c r="A7" s="325" t="inlineStr">
        <is>
          <t>TVL / AUM</t>
        </is>
      </c>
      <c r="B7" s="326" t="inlineStr">
        <is>
          <t>$3.6B</t>
        </is>
      </c>
      <c r="C7" s="326" t="inlineStr">
        <is>
          <t>$433M</t>
        </is>
      </c>
      <c r="D7" s="326" t="inlineStr">
        <is>
          <t>$800M+</t>
        </is>
      </c>
      <c r="E7" s="326" t="inlineStr">
        <is>
          <t>$1.5B+</t>
        </is>
      </c>
      <c r="F7" s="326" t="inlineStr">
        <is>
          <t>~2.5x</t>
        </is>
      </c>
      <c r="G7" s="327" t="inlineStr">
        <is>
          <t>1% tokenization across 4 FIs</t>
        </is>
      </c>
    </row>
    <row r="8" ht="15" customHeight="1" s="133">
      <c r="A8" s="328" t="inlineStr">
        <is>
          <t>Annual Revenue</t>
        </is>
      </c>
      <c r="B8" s="329" t="inlineStr">
        <is>
          <t>$5-10M est.</t>
        </is>
      </c>
      <c r="C8" s="331">
        <f>'5-Year P&amp;L Summary'!D13+'5-Year P&amp;L Summary'!E13</f>
        <v/>
      </c>
      <c r="D8" s="331">
        <f>'5-Year P&amp;L Summary'!H13+'5-Year P&amp;L Summary'!I13</f>
        <v/>
      </c>
      <c r="E8" s="331">
        <f>'5-Year P&amp;L Summary'!L13+'5-Year P&amp;L Summary'!M13</f>
        <v/>
      </c>
      <c r="F8" s="329" t="inlineStr">
        <is>
          <t>~0.5-1x</t>
        </is>
      </c>
      <c r="G8" s="330" t="inlineStr">
        <is>
          <t>4ORM: 5 streams + (reserved)</t>
        </is>
      </c>
    </row>
    <row r="9" ht="15" customHeight="1" s="133">
      <c r="A9" s="325" t="inlineStr">
        <is>
          <t>Annual OpEx (Lean Build)</t>
        </is>
      </c>
      <c r="B9" s="326" t="inlineStr">
        <is>
          <t>$8-15M est.</t>
        </is>
      </c>
      <c r="C9" s="332">
        <f>'OpEx - Ongoing'!D38+'OpEx - Ongoing'!E38</f>
        <v/>
      </c>
      <c r="D9" s="332">
        <f>'OpEx - Ongoing'!H38+'OpEx - Ongoing'!I38</f>
        <v/>
      </c>
      <c r="E9" s="332">
        <f>'OpEx - Ongoing'!L38+'OpEx - Ongoing'!M38</f>
        <v/>
      </c>
      <c r="F9" s="326" t="inlineStr">
        <is>
          <t>~2-3x</t>
        </is>
      </c>
      <c r="G9" s="327" t="inlineStr">
        <is>
          <t>Canadian costs lower than SF/NYC</t>
        </is>
      </c>
    </row>
    <row r="10" ht="15" customHeight="1" s="133">
      <c r="A10" s="328" t="inlineStr">
        <is>
          <t>Funding Raised</t>
        </is>
      </c>
      <c r="B10" s="329" t="inlineStr">
        <is>
          <t>$24M</t>
        </is>
      </c>
      <c r="C10" s="329" t="inlineStr">
        <is>
          <t>$3M pre-seed (unit offering)</t>
        </is>
      </c>
      <c r="D10" s="329" t="inlineStr">
        <is>
          <t>$10-15M Series A</t>
        </is>
      </c>
      <c r="E10" s="329" t="inlineStr">
        <is>
          <t>$20-30M</t>
        </is>
      </c>
      <c r="F10" s="329" t="inlineStr">
        <is>
          <t>~1x at scale</t>
        </is>
      </c>
      <c r="G10" s="146" t="n"/>
    </row>
    <row r="11" ht="15" customHeight="1" s="133">
      <c r="A11" s="325" t="inlineStr">
        <is>
          <t>Revenue Model</t>
        </is>
      </c>
      <c r="B11" s="326" t="inlineStr">
        <is>
          <t>Spread + 15-20bps</t>
        </is>
      </c>
      <c r="C11" s="326" t="inlineStr">
        <is>
          <t>5 streams + SaaS</t>
        </is>
      </c>
      <c r="D11" s="326" t="inlineStr">
        <is>
          <t>Full stack + E-xfer</t>
        </is>
      </c>
      <c r="E11" s="326" t="inlineStr">
        <is>
          <t>Full stack + E-xfer</t>
        </is>
      </c>
      <c r="F11" s="326" t="inlineStr">
        <is>
          <t>-</t>
        </is>
      </c>
      <c r="G11" s="327" t="inlineStr">
        <is>
          <t>Diversified: 5 fee pools + SaaS</t>
        </is>
      </c>
    </row>
    <row r="12" ht="15" customHeight="1" s="133">
      <c r="A12" s="328" t="inlineStr">
        <is>
          <t>Gross Margin</t>
        </is>
      </c>
      <c r="B12" s="329" t="inlineStr">
        <is>
          <t>~60-70%</t>
        </is>
      </c>
      <c r="C12" s="329" t="inlineStr">
        <is>
          <t>60-65% blended</t>
        </is>
      </c>
      <c r="D12" s="329" t="inlineStr">
        <is>
          <t>65-70%</t>
        </is>
      </c>
      <c r="E12" s="329" t="inlineStr">
        <is>
          <t>70-79%</t>
        </is>
      </c>
      <c r="F12" s="329" t="inlineStr">
        <is>
          <t>~1x</t>
        </is>
      </c>
      <c r="G12" s="330" t="inlineStr">
        <is>
          <t>79% gross on core platform fees</t>
        </is>
      </c>
    </row>
    <row r="13" ht="15" customHeight="1" s="133">
      <c r="A13" s="325" t="inlineStr">
        <is>
          <t>Build Approach</t>
        </is>
      </c>
      <c r="B13" s="326" t="inlineStr">
        <is>
          <t>Traditional (100 ppl)</t>
        </is>
      </c>
      <c r="C13" s="326" t="inlineStr">
        <is>
          <t>SPEER + lean dev hybrid</t>
        </is>
      </c>
      <c r="D13" s="326" t="inlineStr">
        <is>
          <t>Lean + scaling</t>
        </is>
      </c>
      <c r="E13" s="326" t="inlineStr">
        <is>
          <t>Lean mature</t>
        </is>
      </c>
      <c r="F13" s="326" t="inlineStr">
        <is>
          <t>-</t>
        </is>
      </c>
      <c r="G13" s="327" t="inlineStr">
        <is>
          <t>35% headcount savings</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555555"/>
    <outlinePr summaryBelow="1" summaryRight="1"/>
    <pageSetUpPr fitToPage="0"/>
  </sheetPr>
  <dimension ref="A1:F8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0" zeroHeight="0" outlineLevelRow="0"/>
  <cols>
    <col width="32" customWidth="1" style="131" min="1" max="1"/>
    <col width="20" customWidth="1" style="131" min="2" max="2"/>
    <col width="25" customWidth="1" style="131" min="3" max="3"/>
    <col width="30" customWidth="1" style="131" min="4" max="4"/>
    <col width="20" customWidth="1" style="131" min="5" max="5"/>
    <col width="38" customWidth="1" style="131" min="6" max="6"/>
  </cols>
  <sheetData>
    <row r="1" ht="46.5" customFormat="1" customHeight="1" s="141">
      <c r="A1" s="333" t="inlineStr">
        <is>
          <t>SOURCES &amp; VALIDATION</t>
        </is>
      </c>
    </row>
    <row r="3" ht="15" customHeight="1" s="133">
      <c r="A3" s="314" t="inlineStr">
        <is>
          <t>ATB FINANCIAL FY2025 - ANNUAL REPORT SOURCES</t>
        </is>
      </c>
      <c r="B3" s="150" t="n"/>
      <c r="C3" s="150" t="n"/>
      <c r="D3" s="150" t="n"/>
      <c r="E3" s="150" t="n"/>
      <c r="F3" s="150" t="n"/>
    </row>
    <row r="4" ht="15" customHeight="1" s="133">
      <c r="A4" s="144" t="inlineStr">
        <is>
          <t>Data Point</t>
        </is>
      </c>
      <c r="B4" s="144" t="inlineStr">
        <is>
          <t>Value</t>
        </is>
      </c>
      <c r="C4" s="144" t="inlineStr">
        <is>
          <t>Source</t>
        </is>
      </c>
      <c r="D4" s="144" t="inlineStr">
        <is>
          <t>Reference</t>
        </is>
      </c>
      <c r="E4" s="144" t="inlineStr">
        <is>
          <t>Date</t>
        </is>
      </c>
      <c r="F4" s="144" t="inlineStr">
        <is>
          <t>Notes</t>
        </is>
      </c>
    </row>
    <row r="5" ht="15" customHeight="1" s="133">
      <c r="A5" s="171" t="inlineStr">
        <is>
          <t>ATB Total Deposits</t>
        </is>
      </c>
      <c r="B5" s="254" t="inlineStr">
        <is>
          <t>$43,332M</t>
        </is>
      </c>
      <c r="C5" s="243" t="inlineStr">
        <is>
          <t>ATB Annual Report FY2025</t>
        </is>
      </c>
      <c r="D5" s="173" t="inlineStr">
        <is>
          <t>p.20 Financial Position table</t>
        </is>
      </c>
      <c r="E5" s="173" t="inlineStr">
        <is>
          <t>FY2025 (March 31, 2025)</t>
        </is>
      </c>
      <c r="F5" s="174" t="inlineStr">
        <is>
          <t>Up 6.8% YoY from $40,583M</t>
        </is>
      </c>
    </row>
    <row r="6" ht="15" customHeight="1" s="133">
      <c r="A6" s="146" t="inlineStr">
        <is>
          <t>ATB Net Loans</t>
        </is>
      </c>
      <c r="B6" s="255" t="inlineStr">
        <is>
          <t>$54,317M</t>
        </is>
      </c>
      <c r="C6" s="153" t="inlineStr">
        <is>
          <t>ATB Annual Report FY2025</t>
        </is>
      </c>
      <c r="D6" s="176" t="inlineStr">
        <is>
          <t>p.20 Financial Position table</t>
        </is>
      </c>
      <c r="E6" s="176" t="inlineStr">
        <is>
          <t>FY2025</t>
        </is>
      </c>
      <c r="F6" s="177" t="inlineStr">
        <is>
          <t>Up 6.0% YoY</t>
        </is>
      </c>
    </row>
    <row r="7" ht="15" customHeight="1" s="133">
      <c r="A7" s="171" t="inlineStr">
        <is>
          <t>ATB Total Assets</t>
        </is>
      </c>
      <c r="B7" s="254" t="inlineStr">
        <is>
          <t>$64,188M</t>
        </is>
      </c>
      <c r="C7" s="243" t="inlineStr">
        <is>
          <t>ATB Annual Report FY2025</t>
        </is>
      </c>
      <c r="D7" s="173" t="inlineStr">
        <is>
          <t>p.20 Financial Position table</t>
        </is>
      </c>
      <c r="E7" s="173" t="inlineStr">
        <is>
          <t>FY2025</t>
        </is>
      </c>
      <c r="F7" s="174" t="inlineStr">
        <is>
          <t>Up 6.3% YoY</t>
        </is>
      </c>
    </row>
    <row r="8" ht="15" customHeight="1" s="133">
      <c r="A8" s="146" t="inlineStr">
        <is>
          <t>ATB Wealth AUA</t>
        </is>
      </c>
      <c r="B8" s="255" t="inlineStr">
        <is>
          <t>$37,166M</t>
        </is>
      </c>
      <c r="C8" s="153" t="inlineStr">
        <is>
          <t>ATB Annual Report FY2025</t>
        </is>
      </c>
      <c r="D8" s="176" t="inlineStr">
        <is>
          <t>p.20 Other information</t>
        </is>
      </c>
      <c r="E8" s="176" t="inlineStr">
        <is>
          <t>FY2025</t>
        </is>
      </c>
      <c r="F8" s="177" t="inlineStr">
        <is>
          <t>Up 30.2% YoY (incl BCV acquisition)</t>
        </is>
      </c>
    </row>
    <row r="9" ht="15" customHeight="1" s="133">
      <c r="A9" s="171" t="inlineStr">
        <is>
          <t>ATB Total Revenue</t>
        </is>
      </c>
      <c r="B9" s="254" t="inlineStr">
        <is>
          <t>$2,187M</t>
        </is>
      </c>
      <c r="C9" s="243" t="inlineStr">
        <is>
          <t>ATB Annual Report FY2025</t>
        </is>
      </c>
      <c r="D9" s="173" t="inlineStr">
        <is>
          <t>p.19 Operating results</t>
        </is>
      </c>
      <c r="E9" s="173" t="inlineStr">
        <is>
          <t>FY2025</t>
        </is>
      </c>
      <c r="F9" s="174" t="inlineStr">
        <is>
          <t>Record, up 8.0% ($162M increase)</t>
        </is>
      </c>
    </row>
    <row r="10" ht="15" customHeight="1" s="133">
      <c r="A10" s="146" t="inlineStr">
        <is>
          <t>ATB Net Income</t>
        </is>
      </c>
      <c r="B10" s="255" t="inlineStr">
        <is>
          <t>$347.6M</t>
        </is>
      </c>
      <c r="C10" s="153" t="inlineStr">
        <is>
          <t>ATB Annual Report FY2025</t>
        </is>
      </c>
      <c r="D10" s="176" t="inlineStr">
        <is>
          <t>p.19 Operating results</t>
        </is>
      </c>
      <c r="E10" s="176" t="inlineStr">
        <is>
          <t>FY2025</t>
        </is>
      </c>
      <c r="F10" s="177" t="inlineStr">
        <is>
          <t>Up from $336.8M</t>
        </is>
      </c>
    </row>
    <row r="11" ht="15" customHeight="1" s="133">
      <c r="A11" s="171" t="inlineStr">
        <is>
          <t>ATB Total Clients</t>
        </is>
      </c>
      <c r="B11" s="254" t="inlineStr">
        <is>
          <t>835,261</t>
        </is>
      </c>
      <c r="C11" s="243" t="inlineStr">
        <is>
          <t>ATB Annual Report FY2025</t>
        </is>
      </c>
      <c r="D11" s="173" t="inlineStr">
        <is>
          <t>p.20 Other information</t>
        </is>
      </c>
      <c r="E11" s="173" t="inlineStr">
        <is>
          <t>FY2025</t>
        </is>
      </c>
      <c r="F11" s="174" t="inlineStr">
        <is>
          <t>Up from 814,140</t>
        </is>
      </c>
    </row>
    <row r="12" ht="15" customHeight="1" s="133">
      <c r="A12" s="146" t="inlineStr">
        <is>
          <t>ATB Team Members</t>
        </is>
      </c>
      <c r="B12" s="255" t="inlineStr">
        <is>
          <t>5,251 FTE</t>
        </is>
      </c>
      <c r="C12" s="153" t="inlineStr">
        <is>
          <t>ATB Annual Report FY2025</t>
        </is>
      </c>
      <c r="D12" s="176" t="inlineStr">
        <is>
          <t>p.20 Other information</t>
        </is>
      </c>
      <c r="E12" s="176" t="inlineStr">
        <is>
          <t>FY2025</t>
        </is>
      </c>
      <c r="F12" s="177" t="inlineStr">
        <is>
          <t>Stable from 5,238</t>
        </is>
      </c>
    </row>
    <row r="13" ht="15" customHeight="1" s="133">
      <c r="A13" s="171" t="inlineStr">
        <is>
          <t>ATB New/Renewed Lending</t>
        </is>
      </c>
      <c r="B13" s="254" t="inlineStr">
        <is>
          <t>$29.1B</t>
        </is>
      </c>
      <c r="C13" s="243" t="inlineStr">
        <is>
          <t>ATB Annual Report FY2025</t>
        </is>
      </c>
      <c r="D13" s="173" t="inlineStr">
        <is>
          <t>p.11 Business Highlights</t>
        </is>
      </c>
      <c r="E13" s="173" t="inlineStr">
        <is>
          <t>FY2025</t>
        </is>
      </c>
      <c r="F13" s="174" t="inlineStr">
        <is>
          <t>Invested in Alberta growth</t>
        </is>
      </c>
    </row>
    <row r="14" ht="15" customHeight="1" s="133">
      <c r="A14" s="146" t="inlineStr">
        <is>
          <t>ATB Mortgage Origination</t>
        </is>
      </c>
      <c r="B14" s="255" t="inlineStr">
        <is>
          <t>$4.4B</t>
        </is>
      </c>
      <c r="C14" s="153" t="inlineStr">
        <is>
          <t>ATB Annual Report FY2025</t>
        </is>
      </c>
      <c r="D14" s="176" t="inlineStr">
        <is>
          <t>p.8 CEO Message</t>
        </is>
      </c>
      <c r="E14" s="176" t="inlineStr">
        <is>
          <t>FY2025</t>
        </is>
      </c>
      <c r="F14" s="177" t="inlineStr">
        <is>
          <t>Up 42.0% YoY</t>
        </is>
      </c>
    </row>
    <row r="15" ht="15" customHeight="1" s="133">
      <c r="A15" s="171" t="inlineStr">
        <is>
          <t>ATB Dividends Paid</t>
        </is>
      </c>
      <c r="B15" s="254" t="inlineStr">
        <is>
          <t>$100M</t>
        </is>
      </c>
      <c r="C15" s="243" t="inlineStr">
        <is>
          <t>ATB Annual Report FY2025</t>
        </is>
      </c>
      <c r="D15" s="173" t="inlineStr">
        <is>
          <t>p.20 Other information</t>
        </is>
      </c>
      <c r="E15" s="173" t="inlineStr">
        <is>
          <t>FY2025</t>
        </is>
      </c>
      <c r="F15" s="174" t="inlineStr">
        <is>
          <t>First-ever dividend to Province of Alberta</t>
        </is>
      </c>
    </row>
    <row r="16" ht="15" customHeight="1" s="133">
      <c r="A16" s="146" t="inlineStr">
        <is>
          <t>ATB Tier 1 Capital Ratio</t>
        </is>
      </c>
      <c r="B16" s="255" t="inlineStr">
        <is>
          <t>12.2%</t>
        </is>
      </c>
      <c r="C16" s="153" t="inlineStr">
        <is>
          <t>ATB Annual Report FY2025</t>
        </is>
      </c>
      <c r="D16" s="176" t="inlineStr">
        <is>
          <t>p.20 Key performance measures</t>
        </is>
      </c>
      <c r="E16" s="176" t="inlineStr">
        <is>
          <t>FY2025</t>
        </is>
      </c>
      <c r="F16" s="177" t="inlineStr">
        <is>
          <t>Down from 13.0% (post-dividend)</t>
        </is>
      </c>
    </row>
    <row r="18" ht="15" customHeight="1" s="133">
      <c r="A18" s="334" t="inlineStr">
        <is>
          <t>(RESERVED 6TH STREAM - SOURCES)</t>
        </is>
      </c>
    </row>
    <row r="19" ht="15" customHeight="1" s="133">
      <c r="A19" s="335" t="inlineStr">
        <is>
          <t>Per-FI conservative savings</t>
        </is>
      </c>
      <c r="B19" s="335" t="inlineStr">
        <is>
          <t>ATB $1.03M / Servus $683K / Vancity $659K / BVCU $24K per yr</t>
        </is>
      </c>
      <c r="C19" s="335" t="inlineStr">
        <is>
          <t>4orm Per-Institution Conservative Savings workbook</t>
        </is>
      </c>
      <c r="D19" s="335" t="inlineStr">
        <is>
          <t>186 institutions, 7 categories</t>
        </is>
      </c>
      <c r="E19" s="335" t="inlineStr">
        <is>
          <t>June 2026</t>
        </is>
      </c>
      <c r="F19" s="335" t="inlineStr">
        <is>
          <t>Assumptions deflated below demo v2 cost model; all parameters sourced</t>
        </is>
      </c>
    </row>
    <row r="20" ht="15" customHeight="1" s="133">
      <c r="A20" s="336" t="inlineStr">
        <is>
          <t>Savings TAM</t>
        </is>
      </c>
      <c r="B20" s="336" t="inlineStr">
        <is>
          <t>$20,330,371/yr</t>
        </is>
      </c>
      <c r="C20" s="336" t="inlineStr">
        <is>
          <t>Same workbook - By Tier sheet</t>
        </is>
      </c>
      <c r="D20" s="336" t="inlineStr">
        <is>
          <t>T1 $16.1M + T2 $2.9M + T3 $1.3M</t>
        </is>
      </c>
      <c r="E20" s="336" t="inlineStr">
        <is>
          <t>June 2026</t>
        </is>
      </c>
      <c r="F20" s="336" t="inlineStr">
        <is>
          <t>186 Canadian banks, CUs, trusts</t>
        </is>
      </c>
    </row>
    <row r="21" ht="15" customHeight="1" s="133">
      <c r="A21" s="335" t="inlineStr">
        <is>
          <t>Capture rate (25%)</t>
        </is>
      </c>
      <c r="B21" s="335" t="inlineStr">
        <is>
          <t>20-30% typical</t>
        </is>
      </c>
      <c r="C21" s="335" t="inlineStr">
        <is>
          <t>Gainshare / value-based pricing benchmarks</t>
        </is>
      </c>
      <c r="D21" s="335" t="inlineStr">
        <is>
          <t>Editable CP B139</t>
        </is>
      </c>
      <c r="E21" s="335" t="inlineStr">
        <is>
          <t>2026</t>
        </is>
      </c>
      <c r="F21" s="335" t="inlineStr">
        <is>
          <t>Conservative midpoint of verified-savings contracts</t>
        </is>
      </c>
    </row>
    <row r="22" ht="15" customHeight="1" s="133">
      <c r="A22" s="336" t="inlineStr">
        <is>
          <t>Regulated settlement precedent</t>
        </is>
      </c>
      <c r="B22" s="336" t="inlineStr">
        <is>
          <t>$3T+ cumulative, $5-7B/day</t>
        </is>
      </c>
      <c r="C22" s="336" t="inlineStr">
        <is>
          <t>JPM Kinexys</t>
        </is>
      </c>
      <c r="D22" s="336" t="inlineStr">
        <is>
          <t>demo-exchange.vercel.app/how-it-works.html</t>
        </is>
      </c>
      <c r="E22" s="336" t="inlineStr">
        <is>
          <t>Mid-2026</t>
        </is>
      </c>
      <c r="F22" s="336" t="inlineStr">
        <is>
          <t>Proves tokenized settlement rail at institutional scale</t>
        </is>
      </c>
    </row>
    <row r="23" ht="15" customHeight="1" s="133">
      <c r="A23" s="335" t="inlineStr">
        <is>
          <t>BoC Project Samara</t>
        </is>
      </c>
      <c r="B23" s="335" t="inlineStr">
        <is>
          <t>C$100M tokenized bond, instant settlement</t>
        </is>
      </c>
      <c r="C23" s="335" t="inlineStr">
        <is>
          <t>Bank of Canada / EDC / RBC / TD</t>
        </is>
      </c>
      <c r="D23" s="335" t="inlineStr">
        <is>
          <t>bankofcanada.ca (Mar 2026)</t>
        </is>
      </c>
      <c r="E23" s="335" t="inlineStr">
        <is>
          <t>Mar 2026</t>
        </is>
      </c>
      <c r="F23" s="335" t="inlineStr">
        <is>
          <t>Canadian validation of DvP on dual ledger</t>
        </is>
      </c>
    </row>
    <row r="24" ht="15" customHeight="1" s="133">
      <c r="A24" s="336" t="inlineStr">
        <is>
          <t>Methodology anchors</t>
        </is>
      </c>
      <c r="B24" s="336" t="inlineStr">
        <is>
          <t>ACSS 1.2-day float; FINTRAC 1.2% alert rate; SWIFT MT103 $0.15; CDS/DTCC 2.4% fail rate</t>
        </is>
      </c>
      <c r="C24" s="336" t="inlineStr">
        <is>
          <t>Savings workbook Methodology sheet</t>
        </is>
      </c>
      <c r="D24" s="336" t="inlineStr">
        <is>
          <t>Payments Canada / FINTRAC / SWIFT / CDS</t>
        </is>
      </c>
      <c r="E24" s="336" t="inlineStr">
        <is>
          <t>June 2026</t>
        </is>
      </c>
      <c r="F24" s="336" t="inlineStr">
        <is>
          <t>Each assumption shows conservatism vs v2 model</t>
        </is>
      </c>
    </row>
    <row r="26">
      <c r="A26" s="337" t="inlineStr">
        <is>
          <t>V9 ADDITIONAL SOURCES (Phased Build)</t>
        </is>
      </c>
    </row>
    <row r="27">
      <c r="A27" s="338" t="inlineStr">
        <is>
          <t>Source</t>
        </is>
      </c>
      <c r="B27" s="338" t="inlineStr">
        <is>
          <t>URL</t>
        </is>
      </c>
      <c r="C27" s="338" t="inlineStr">
        <is>
          <t>Purpose</t>
        </is>
      </c>
    </row>
    <row r="28">
      <c r="A28" s="339" t="inlineStr">
        <is>
          <t>CVCA H1 2025 Reports</t>
        </is>
      </c>
      <c r="B28" s="339" t="inlineStr">
        <is>
          <t>https://intelligence.cvca.ca/reports/venture-capital/</t>
        </is>
      </c>
      <c r="C28" s="339" t="inlineStr">
        <is>
          <t>Canadian VC benchmarks</t>
        </is>
      </c>
    </row>
    <row r="29">
      <c r="A29" s="313" t="inlineStr">
        <is>
          <t>CIRO Custody Framework Feb 2026</t>
        </is>
      </c>
      <c r="B29" s="313" t="inlineStr">
        <is>
          <t>https://www.ciro.ca/newsroom/publications/notice-ciros-digital-asset-custody-framework</t>
        </is>
      </c>
      <c r="C29" s="313" t="inlineStr">
        <is>
          <t>Regulatory framework</t>
        </is>
      </c>
    </row>
    <row r="30">
      <c r="A30" s="339" t="inlineStr">
        <is>
          <t>Alberta FIA Bill 13 / Sandbox</t>
        </is>
      </c>
      <c r="B30" s="339" t="inlineStr">
        <is>
          <t>https://www.alberta.ca/financial-services-and-fintech-regulatory-sandbox.aspx</t>
        </is>
      </c>
      <c r="C30" s="339" t="inlineStr">
        <is>
          <t>Sandbox admission</t>
        </is>
      </c>
    </row>
    <row r="31">
      <c r="A31" s="313" t="inlineStr">
        <is>
          <t>Cybrid Series A</t>
        </is>
      </c>
      <c r="B31" s="313" t="inlineStr">
        <is>
          <t>https://betakit.com/cybrid-closes-10-million-usd-series-a-round-to-bring-stablecoins-to-the-business-mainstream/</t>
        </is>
      </c>
      <c r="C31" s="313" t="inlineStr">
        <is>
          <t>Comparable</t>
        </is>
      </c>
    </row>
    <row r="32">
      <c r="A32" s="339" t="inlineStr">
        <is>
          <t>Tetra Trust funding</t>
        </is>
      </c>
      <c r="B32" s="339" t="inlineStr">
        <is>
          <t>https://betakit.com/tetra-trust-parent-secures-backing-from-banks-fintech-to-launch-canadian-stablecoin-and-grow-beyond-crypto-custody/</t>
        </is>
      </c>
      <c r="C32" s="339" t="inlineStr">
        <is>
          <t>Comparable</t>
        </is>
      </c>
    </row>
    <row r="33">
      <c r="A33" s="313" t="inlineStr">
        <is>
          <t>Runway benchmarks 2026</t>
        </is>
      </c>
      <c r="B33" s="313" t="inlineStr">
        <is>
          <t>https://runway.com/blog/burn-multiple-benchmarks-for-2026-what-good-looks-like-at-seed-to-scale</t>
        </is>
      </c>
      <c r="C33" s="313" t="inlineStr">
        <is>
          <t>Benchmark</t>
        </is>
      </c>
    </row>
    <row r="34">
      <c r="A34" s="339" t="inlineStr">
        <is>
          <t>YC runway advice</t>
        </is>
      </c>
      <c r="B34" s="339" t="inlineStr">
        <is>
          <t>https://www.ycombinator.com/library/3Z-advice-for-companies-with-less-than-1-year-of-runway</t>
        </is>
      </c>
      <c r="C34" s="339" t="inlineStr">
        <is>
          <t>Runway advice</t>
        </is>
      </c>
    </row>
    <row r="36">
      <c r="A36" s="340" t="inlineStr">
        <is>
          <t>V10 DEVEX + OPEX LINE-ITEM SOURCE VALIDATION</t>
        </is>
      </c>
    </row>
    <row r="37">
      <c r="A37" s="338" t="inlineStr">
        <is>
          <t>#</t>
        </is>
      </c>
      <c r="B37" s="338" t="inlineStr">
        <is>
          <t>Category</t>
        </is>
      </c>
      <c r="C37" s="338" t="inlineStr">
        <is>
          <t>Line Item</t>
        </is>
      </c>
      <c r="D37" s="338" t="inlineStr">
        <is>
          <t>Amount / Rate</t>
        </is>
      </c>
      <c r="E37" s="338" t="inlineStr">
        <is>
          <t>Source URL</t>
        </is>
      </c>
      <c r="F37" s="338" t="inlineStr">
        <is>
          <t>Source Description / Date Verified</t>
        </is>
      </c>
    </row>
    <row r="38">
      <c r="A38" s="341" t="n">
        <v>1</v>
      </c>
      <c r="B38" s="341" t="inlineStr">
        <is>
          <t>DevEx / SPEER</t>
        </is>
      </c>
      <c r="C38" s="341" t="inlineStr">
        <is>
          <t>SPEER Statement of Work (Phase 1-3)</t>
        </is>
      </c>
      <c r="D38" s="341" t="inlineStr">
        <is>
          <t>$317,304 CAD incl 13% HST</t>
        </is>
      </c>
      <c r="E38" s="341" t="inlineStr">
        <is>
          <t>Internal SPEER SoW document</t>
        </is>
      </c>
      <c r="F38" s="341" t="inlineStr">
        <is>
          <t>SPEER Engineering SoW dated 2026; deposit Sept 1 2026 + 12 monthly $19,831.50. Verified 2026-07-03.</t>
        </is>
      </c>
    </row>
    <row r="39">
      <c r="A39" s="342" t="n">
        <v>2</v>
      </c>
      <c r="B39" s="342" t="inlineStr">
        <is>
          <t>DevEx / SPEER</t>
        </is>
      </c>
      <c r="C39" s="342" t="inlineStr">
        <is>
          <t>SPEER Phase 1: Discovery &amp; Architecture</t>
        </is>
      </c>
      <c r="D39" s="342" t="inlineStr">
        <is>
          <t>$31,200</t>
        </is>
      </c>
      <c r="E39" s="342" t="inlineStr">
        <is>
          <t>Internal SPEER SoW</t>
        </is>
      </c>
      <c r="F39" s="342" t="inlineStr">
        <is>
          <t>1-2 months. Verified 2026-07-03.</t>
        </is>
      </c>
    </row>
    <row r="40">
      <c r="A40" s="341" t="n">
        <v>3</v>
      </c>
      <c r="B40" s="341" t="inlineStr">
        <is>
          <t>DevEx / SPEER</t>
        </is>
      </c>
      <c r="C40" s="341" t="inlineStr">
        <is>
          <t>SPEER Phase 2: MVP Design &amp; Dev</t>
        </is>
      </c>
      <c r="D40" s="341" t="inlineStr">
        <is>
          <t>$93,600</t>
        </is>
      </c>
      <c r="E40" s="341" t="inlineStr">
        <is>
          <t>Internal SPEER SoW</t>
        </is>
      </c>
      <c r="F40" s="341" t="inlineStr">
        <is>
          <t>3-5 months. Verified 2026-07-03.</t>
        </is>
      </c>
    </row>
    <row r="41">
      <c r="A41" s="342" t="n">
        <v>4</v>
      </c>
      <c r="B41" s="342" t="inlineStr">
        <is>
          <t>DevEx / SPEER</t>
        </is>
      </c>
      <c r="C41" s="342" t="inlineStr">
        <is>
          <t>SPEER Phase 3: Continued Dev &amp; Integration</t>
        </is>
      </c>
      <c r="D41" s="342" t="inlineStr">
        <is>
          <t>$156,000</t>
        </is>
      </c>
      <c r="E41" s="342" t="inlineStr">
        <is>
          <t>Internal SPEER SoW</t>
        </is>
      </c>
      <c r="F41" s="342" t="inlineStr">
        <is>
          <t>3-6 months. Verified 2026-07-03.</t>
        </is>
      </c>
    </row>
    <row r="42">
      <c r="A42" s="341" t="n">
        <v>5</v>
      </c>
      <c r="B42" s="341" t="inlineStr">
        <is>
          <t>DevEx / SPEER</t>
        </is>
      </c>
      <c r="C42" s="341" t="inlineStr">
        <is>
          <t>HST 13% on SPEER contract</t>
        </is>
      </c>
      <c r="D42" s="341" t="inlineStr">
        <is>
          <t>$36,504</t>
        </is>
      </c>
      <c r="E42" s="341" t="inlineStr">
        <is>
          <t>https://www.canada.ca/en/revenue-agency/services/tax/businesses/topics/gst-hst-businesses/charge-collect-which-rate.html</t>
        </is>
      </c>
      <c r="F42" s="341" t="inlineStr">
        <is>
          <t>Canadian federal HST rate 13% for Ontario-based services. Verified 2026-07-03.</t>
        </is>
      </c>
    </row>
    <row r="43">
      <c r="A43" s="342" t="n">
        <v>6</v>
      </c>
      <c r="B43" s="342" t="inlineStr">
        <is>
          <t>DevEx / Internal</t>
        </is>
      </c>
      <c r="C43" s="342" t="inlineStr">
        <is>
          <t>Chain abstraction layer (internal build)</t>
        </is>
      </c>
      <c r="D43" s="342" t="inlineStr">
        <is>
          <t>$40,000</t>
        </is>
      </c>
      <c r="E43" s="342" t="inlineStr">
        <is>
          <t>https://chainstack.com/pricing/</t>
        </is>
      </c>
      <c r="F43" s="342" t="inlineStr">
        <is>
          <t>Internal infra estimate benchmarked vs Chainstack multi-chain RPC pricing. Verified 2026-07-03.</t>
        </is>
      </c>
    </row>
    <row r="44">
      <c r="A44" s="341" t="n">
        <v>7</v>
      </c>
      <c r="B44" s="341" t="inlineStr">
        <is>
          <t>DevEx / Internal</t>
        </is>
      </c>
      <c r="C44" s="341" t="inlineStr">
        <is>
          <t>Smart contract dev (patent-differentiated)</t>
        </is>
      </c>
      <c r="D44" s="341" t="inlineStr">
        <is>
          <t>$30,000 H2 2026</t>
        </is>
      </c>
      <c r="E44" s="341" t="inlineStr">
        <is>
          <t>https://ised-isde.canada.ca/site/canadian-intellectual-property-office/en/patents/patent-fees</t>
        </is>
      </c>
      <c r="F44" s="341" t="inlineStr">
        <is>
          <t>CIPO patent fees + internal dev. Verified 2026-07-03.</t>
        </is>
      </c>
    </row>
    <row r="45">
      <c r="A45" s="342" t="n">
        <v>8</v>
      </c>
      <c r="B45" s="342" t="inlineStr">
        <is>
          <t>DevEx / Internal</t>
        </is>
      </c>
      <c r="C45" s="342" t="inlineStr">
        <is>
          <t>Alberta Sandbox admission prep</t>
        </is>
      </c>
      <c r="D45" s="342" t="inlineStr">
        <is>
          <t>$30K H2 2026 + $20K H1 2027</t>
        </is>
      </c>
      <c r="E45" s="342" t="inlineStr">
        <is>
          <t>https://www.alberta.ca/financial-services-and-fintech-regulatory-sandbox.aspx</t>
        </is>
      </c>
      <c r="F45" s="342" t="inlineStr">
        <is>
          <t>Alberta Financial Services and Fintech Regulatory Sandbox program. Verified 2026-07-03.</t>
        </is>
      </c>
    </row>
    <row r="46">
      <c r="A46" s="341" t="n">
        <v>9</v>
      </c>
      <c r="B46" s="341" t="inlineStr">
        <is>
          <t>DevEx / Legal</t>
        </is>
      </c>
      <c r="C46" s="341" t="inlineStr">
        <is>
          <t>Patent provisional filings</t>
        </is>
      </c>
      <c r="D46" s="341" t="inlineStr">
        <is>
          <t>$15,000 H2 2026</t>
        </is>
      </c>
      <c r="E46" s="341" t="inlineStr">
        <is>
          <t>https://ised-isde.canada.ca/site/canadian-intellectual-property-office/en/patents/patent-fees</t>
        </is>
      </c>
      <c r="F46" s="341" t="inlineStr">
        <is>
          <t>CIPO patent fees + Smart Biggar / Bereskin Parr counsel estimate. Verified 2026-07-03.</t>
        </is>
      </c>
    </row>
    <row r="47">
      <c r="A47" s="342" t="n">
        <v>10</v>
      </c>
      <c r="B47" s="342" t="inlineStr">
        <is>
          <t>DevEx / Security</t>
        </is>
      </c>
      <c r="C47" s="342" t="inlineStr">
        <is>
          <t>Smart contract audit (initial - Trail of Bits)</t>
        </is>
      </c>
      <c r="D47" s="342" t="inlineStr">
        <is>
          <t>$80,000</t>
        </is>
      </c>
      <c r="E47" s="342" t="inlineStr">
        <is>
          <t>https://www.trailofbits.com/services/software-assurance/blockchain/</t>
        </is>
      </c>
      <c r="F47" s="342" t="inlineStr">
        <is>
          <t>Trail of Bits blockchain assurance rates. Verified 2026-07-03.</t>
        </is>
      </c>
    </row>
    <row r="48">
      <c r="A48" s="341" t="n">
        <v>11</v>
      </c>
      <c r="B48" s="341" t="inlineStr">
        <is>
          <t>DevEx / Security</t>
        </is>
      </c>
      <c r="C48" s="341" t="inlineStr">
        <is>
          <t>Smart contract audit (annual re-audit)</t>
        </is>
      </c>
      <c r="D48" s="341" t="inlineStr">
        <is>
          <t>$25,000/half</t>
        </is>
      </c>
      <c r="E48" s="341" t="inlineStr">
        <is>
          <t>https://www.trailofbits.com/services/software-assurance/blockchain/</t>
        </is>
      </c>
      <c r="F48" s="341" t="inlineStr">
        <is>
          <t>Ongoing quarterly/annual re-audit budget. Verified 2026-07-03.</t>
        </is>
      </c>
    </row>
    <row r="49">
      <c r="A49" s="342" t="n">
        <v>12</v>
      </c>
      <c r="B49" s="342" t="inlineStr">
        <is>
          <t>DevEx / Security</t>
        </is>
      </c>
      <c r="C49" s="342" t="inlineStr">
        <is>
          <t>Penetration testing (initial)</t>
        </is>
      </c>
      <c r="D49" s="342" t="inlineStr">
        <is>
          <t>$40,000</t>
        </is>
      </c>
      <c r="E49" s="342" t="inlineStr">
        <is>
          <t>https://bulletproofsi.com/it-security/</t>
        </is>
      </c>
      <c r="F49" s="342" t="inlineStr">
        <is>
          <t>Bulletproof Solutions Inc. Canadian pentest rates. Verified 2026-07-03.</t>
        </is>
      </c>
    </row>
    <row r="50">
      <c r="A50" s="341" t="n">
        <v>13</v>
      </c>
      <c r="B50" s="341" t="inlineStr">
        <is>
          <t>DevEx / Security</t>
        </is>
      </c>
      <c r="C50" s="341" t="inlineStr">
        <is>
          <t>Penetration testing (annual)</t>
        </is>
      </c>
      <c r="D50" s="341" t="inlineStr">
        <is>
          <t>$12,500/half</t>
        </is>
      </c>
      <c r="E50" s="341" t="inlineStr">
        <is>
          <t>https://prescientassurance.com/</t>
        </is>
      </c>
      <c r="F50" s="341" t="inlineStr">
        <is>
          <t>Prescient Assurance ongoing pentest packages. Verified 2026-07-03.</t>
        </is>
      </c>
    </row>
    <row r="51">
      <c r="A51" s="342" t="n">
        <v>14</v>
      </c>
      <c r="B51" s="342" t="inlineStr">
        <is>
          <t>DevEx / Security</t>
        </is>
      </c>
      <c r="C51" s="342" t="inlineStr">
        <is>
          <t>SOC 2 Type II certification</t>
        </is>
      </c>
      <c r="D51" s="342" t="inlineStr">
        <is>
          <t>$30,000/half</t>
        </is>
      </c>
      <c r="E51" s="342" t="inlineStr">
        <is>
          <t>https://drata.com/pricing</t>
        </is>
      </c>
      <c r="F51" s="342" t="inlineStr">
        <is>
          <t>Drata SOC 2 automation + auditor fees. Verified 2026-07-03.</t>
        </is>
      </c>
    </row>
    <row r="52">
      <c r="A52" s="341" t="n">
        <v>15</v>
      </c>
      <c r="B52" s="341" t="inlineStr">
        <is>
          <t>DevEx / Regulatory</t>
        </is>
      </c>
      <c r="C52" s="341" t="inlineStr">
        <is>
          <t>CIRO dealer registration application</t>
        </is>
      </c>
      <c r="D52" s="341" t="inlineStr">
        <is>
          <t>$150K H1 2028 + tail</t>
        </is>
      </c>
      <c r="E52" s="341" t="inlineStr">
        <is>
          <t>https://www.ciro.ca/firms/fee-models</t>
        </is>
      </c>
      <c r="F52" s="341" t="inlineStr">
        <is>
          <t>CIRO Fee Model + external legal filing counsel. Verified 2026-07-03.</t>
        </is>
      </c>
    </row>
    <row r="53">
      <c r="A53" s="342" t="n">
        <v>16</v>
      </c>
      <c r="B53" s="342" t="inlineStr">
        <is>
          <t>DevEx / Regulatory</t>
        </is>
      </c>
      <c r="C53" s="342" t="inlineStr">
        <is>
          <t>CSA prospectus / exemption filing</t>
        </is>
      </c>
      <c r="D53" s="342" t="inlineStr">
        <is>
          <t>$80K H1 2028 + tail</t>
        </is>
      </c>
      <c r="E53" s="342" t="inlineStr">
        <is>
          <t>https://www.osler.com/en/expertise/services/regulatory/</t>
        </is>
      </c>
      <c r="F53" s="342" t="inlineStr">
        <is>
          <t>Osler regulatory practice rates. Verified 2026-07-03.</t>
        </is>
      </c>
    </row>
    <row r="54">
      <c r="A54" s="341" t="n">
        <v>17</v>
      </c>
      <c r="B54" s="341" t="inlineStr">
        <is>
          <t>DevEx / Regulatory</t>
        </is>
      </c>
      <c r="C54" s="341" t="inlineStr">
        <is>
          <t>Legal structuring (token legal opinion)</t>
        </is>
      </c>
      <c r="D54" s="341" t="inlineStr">
        <is>
          <t>$30,000 H2 2026</t>
        </is>
      </c>
      <c r="E54" s="341" t="inlineStr">
        <is>
          <t>https://mcmillan.ca/expertise/industries/banking-finance/cryptocurrency-payments-fintech/</t>
        </is>
      </c>
      <c r="F54" s="341" t="inlineStr">
        <is>
          <t>McMillan fintech/crypto legal opinion rates. Verified 2026-07-03.</t>
        </is>
      </c>
    </row>
    <row r="55">
      <c r="A55" s="342" t="n">
        <v>18</v>
      </c>
      <c r="B55" s="342" t="inlineStr">
        <is>
          <t>DevEx / Regulatory</t>
        </is>
      </c>
      <c r="C55" s="342" t="inlineStr">
        <is>
          <t>Provincial registrations (AB, BC)</t>
        </is>
      </c>
      <c r="D55" s="342" t="inlineStr">
        <is>
          <t>$10,000 H2 2026</t>
        </is>
      </c>
      <c r="E55" s="342" t="inlineStr">
        <is>
          <t>https://www.asc.ca/-/media/ASC-Documents-part-1/Regulatory-Instruments/2018/10/5225360-ASC-Fee-Rule-13-501-Eff-Dec-1-2016.pdf</t>
        </is>
      </c>
      <c r="F55" s="342" t="inlineStr">
        <is>
          <t>ASC Fee Rule 13-501 + BCSC equivalent. Verified 2026-07-03.</t>
        </is>
      </c>
    </row>
    <row r="56">
      <c r="A56" s="341" t="n">
        <v>19</v>
      </c>
      <c r="B56" s="341" t="inlineStr">
        <is>
          <t>OpEx / Tooling</t>
        </is>
      </c>
      <c r="C56" s="341" t="inlineStr">
        <is>
          <t>GitHub Copilot Business (5-8 seats)</t>
        </is>
      </c>
      <c r="D56" s="341" t="inlineStr">
        <is>
          <t>$2,850/half</t>
        </is>
      </c>
      <c r="E56" s="341" t="inlineStr">
        <is>
          <t>https://github.com/features/copilot/plans</t>
        </is>
      </c>
      <c r="F56" s="341" t="inlineStr">
        <is>
          <t>Copilot Business $19/user/mo. Verified 2026-07-03.</t>
        </is>
      </c>
    </row>
    <row r="57">
      <c r="A57" s="342" t="n">
        <v>20</v>
      </c>
      <c r="B57" s="342" t="inlineStr">
        <is>
          <t>OpEx / Tooling</t>
        </is>
      </c>
      <c r="C57" s="342" t="inlineStr">
        <is>
          <t>Cursor Pro (5-8 seats)</t>
        </is>
      </c>
      <c r="D57" s="342" t="inlineStr">
        <is>
          <t>$600/half</t>
        </is>
      </c>
      <c r="E57" s="342" t="inlineStr">
        <is>
          <t>https://cursor.com/pricing</t>
        </is>
      </c>
      <c r="F57" s="342" t="inlineStr">
        <is>
          <t>Cursor Pro $20/user/mo. Verified 2026-07-03.</t>
        </is>
      </c>
    </row>
    <row r="58">
      <c r="A58" s="341" t="n">
        <v>21</v>
      </c>
      <c r="B58" s="341" t="inlineStr">
        <is>
          <t>OpEx / Tooling</t>
        </is>
      </c>
      <c r="C58" s="341" t="inlineStr">
        <is>
          <t>Snyk (Team plan)</t>
        </is>
      </c>
      <c r="D58" s="341" t="inlineStr">
        <is>
          <t>$3,000/half</t>
        </is>
      </c>
      <c r="E58" s="341" t="inlineStr">
        <is>
          <t>https://snyk.io/plans/</t>
        </is>
      </c>
      <c r="F58" s="341" t="inlineStr">
        <is>
          <t>Snyk Team plan seat pricing. Verified 2026-07-03.</t>
        </is>
      </c>
    </row>
    <row r="59">
      <c r="A59" s="342" t="n">
        <v>22</v>
      </c>
      <c r="B59" s="342" t="inlineStr">
        <is>
          <t>OpEx / Tooling</t>
        </is>
      </c>
      <c r="C59" s="342" t="inlineStr">
        <is>
          <t>Codiumplatform + CodeRabbit</t>
        </is>
      </c>
      <c r="D59" s="342" t="inlineStr">
        <is>
          <t>$2,100/half</t>
        </is>
      </c>
      <c r="E59" s="342" t="inlineStr">
        <is>
          <t>https://www.qodo.ai/pricing/</t>
        </is>
      </c>
      <c r="F59" s="342" t="inlineStr">
        <is>
          <t>Qodo (formerly CodiumAI) team + CodeRabbit ($30/dev/mo per https://www.coderabbit.ai/pricing). Verified 2026-07-03.</t>
        </is>
      </c>
    </row>
    <row r="60">
      <c r="A60" s="341" t="n">
        <v>23</v>
      </c>
      <c r="B60" s="341" t="inlineStr">
        <is>
          <t>OpEx / Tooling</t>
        </is>
      </c>
      <c r="C60" s="341" t="inlineStr">
        <is>
          <t>Datadog (Pro)</t>
        </is>
      </c>
      <c r="D60" s="341" t="inlineStr">
        <is>
          <t>$9,000/half</t>
        </is>
      </c>
      <c r="E60" s="341" t="inlineStr">
        <is>
          <t>https://www.datadoghq.com/pricing/</t>
        </is>
      </c>
      <c r="F60" s="341" t="inlineStr">
        <is>
          <t>Datadog Pro APM+Logs+Metrics. Verified 2026-07-03.</t>
        </is>
      </c>
    </row>
    <row r="61">
      <c r="A61" s="342" t="n">
        <v>24</v>
      </c>
      <c r="B61" s="342" t="inlineStr">
        <is>
          <t>OpEx / Tooling</t>
        </is>
      </c>
      <c r="C61" s="342" t="inlineStr">
        <is>
          <t>Claude API + Openplatform API</t>
        </is>
      </c>
      <c r="D61" s="342" t="inlineStr">
        <is>
          <t>$4,800/half</t>
        </is>
      </c>
      <c r="E61" s="342" t="inlineStr">
        <is>
          <t>https://www.anthropic.com/pricing</t>
        </is>
      </c>
      <c r="F61" s="342" t="inlineStr">
        <is>
          <t>Anthropic Claude API + https://openai.com/api/pricing/. Verified 2026-07-03.</t>
        </is>
      </c>
    </row>
    <row r="62">
      <c r="A62" s="341" t="n">
        <v>25</v>
      </c>
      <c r="B62" s="341" t="inlineStr">
        <is>
          <t>OpEx / Tooling</t>
        </is>
      </c>
      <c r="C62" s="341" t="inlineStr">
        <is>
          <t>Mintlify + v0 Vercel</t>
        </is>
      </c>
      <c r="D62" s="341" t="inlineStr">
        <is>
          <t>$1,020/half</t>
        </is>
      </c>
      <c r="E62" s="341" t="inlineStr">
        <is>
          <t>https://www.mintlify.com/pricing</t>
        </is>
      </c>
      <c r="F62" s="341" t="inlineStr">
        <is>
          <t>Mintlify docs + v0 https://v0.app/pricing. Verified 2026-07-03.</t>
        </is>
      </c>
    </row>
    <row r="63">
      <c r="A63" s="342" t="n">
        <v>26</v>
      </c>
      <c r="B63" s="342" t="inlineStr">
        <is>
          <t>OpEx / Regulatory</t>
        </is>
      </c>
      <c r="C63" s="342" t="inlineStr">
        <is>
          <t>External legal counsel (retainer)</t>
        </is>
      </c>
      <c r="D63" s="342" t="inlineStr">
        <is>
          <t>$50,000/half</t>
        </is>
      </c>
      <c r="E63" s="342" t="inlineStr">
        <is>
          <t>https://www.researchandmarkets.com/reports/5777539/valeo-canadian-law-firm-hourly-rate-report</t>
        </is>
      </c>
      <c r="F63" s="342" t="inlineStr">
        <is>
          <t>Valeo Canadian law firm hourly rate report + McMillan/Stikeman blend. Verified 2026-07-03.</t>
        </is>
      </c>
    </row>
    <row r="64">
      <c r="A64" s="341" t="n">
        <v>27</v>
      </c>
      <c r="B64" s="341" t="inlineStr">
        <is>
          <t>OpEx / Regulatory</t>
        </is>
      </c>
      <c r="C64" s="341" t="inlineStr">
        <is>
          <t>Audit &amp; accounting</t>
        </is>
      </c>
      <c r="D64" s="341" t="inlineStr">
        <is>
          <t>$30-45K/half</t>
        </is>
      </c>
      <c r="E64" s="341" t="inlineStr">
        <is>
          <t>https://www.mnp.ca/</t>
        </is>
      </c>
      <c r="F64" s="341" t="inlineStr">
        <is>
          <t>MNP / https://www.bdo.ca / https://www.grantthornton.ca mid-tier assurance rates. Verified 2026-07-03.</t>
        </is>
      </c>
    </row>
    <row r="65">
      <c r="A65" s="342" t="n">
        <v>28</v>
      </c>
      <c r="B65" s="342" t="inlineStr">
        <is>
          <t>OpEx / Regulatory</t>
        </is>
      </c>
      <c r="C65" s="342" t="inlineStr">
        <is>
          <t>Compliance software (Chainalysis KYT)</t>
        </is>
      </c>
      <c r="D65" s="342" t="inlineStr">
        <is>
          <t>$27,000/half (Phase 2)</t>
        </is>
      </c>
      <c r="E65" s="342" t="inlineStr">
        <is>
          <t>https://www.chainalysis.com/product/kyt/</t>
        </is>
      </c>
      <c r="F65" s="342" t="inlineStr">
        <is>
          <t>Chainalysis KYT enterprise pricing. Verified 2026-07-03.</t>
        </is>
      </c>
    </row>
    <row r="66">
      <c r="A66" s="341" t="n">
        <v>29</v>
      </c>
      <c r="B66" s="341" t="inlineStr">
        <is>
          <t>OpEx / Insurance</t>
        </is>
      </c>
      <c r="C66" s="341" t="inlineStr">
        <is>
          <t>Insurance (D&amp;O, E&amp;O, Cyber)</t>
        </is>
      </c>
      <c r="D66" s="341" t="inlineStr">
        <is>
          <t>$30-73K/half</t>
        </is>
      </c>
      <c r="E66" s="341" t="inlineStr">
        <is>
          <t>https://www.marsh.com/ca/en/industries/financial-institutions/products/fintech-challenger-and-disruptor-insurance.html</t>
        </is>
      </c>
      <c r="F66" s="341" t="inlineStr">
        <is>
          <t>Marsh Canada fintech insurance packages + https://foundershield.com/blog/do-insurance-pricing-2026-outlook/. Verified 2026-07-03.</t>
        </is>
      </c>
    </row>
    <row r="67">
      <c r="A67" s="342" t="n">
        <v>30</v>
      </c>
      <c r="B67" s="342" t="inlineStr">
        <is>
          <t>OpEx / Insurance</t>
        </is>
      </c>
      <c r="C67" s="342" t="inlineStr">
        <is>
          <t>Aon Canada 2024 market overview</t>
        </is>
      </c>
      <c r="D67" s="342" t="inlineStr">
        <is>
          <t>Insurance benchmark</t>
        </is>
      </c>
      <c r="E67" s="342" t="inlineStr">
        <is>
          <t>https://www.aon.com/canada/insights/publications/2024/insurance-market-overview-canada.jsp</t>
        </is>
      </c>
      <c r="F67" s="342" t="inlineStr">
        <is>
          <t>Aon Canada insurance market benchmark. Verified 2026-07-03.</t>
        </is>
      </c>
    </row>
    <row r="68">
      <c r="A68" s="341" t="n">
        <v>31</v>
      </c>
      <c r="B68" s="341" t="inlineStr">
        <is>
          <t>OpEx / Cloud</t>
        </is>
      </c>
      <c r="C68" s="341" t="inlineStr">
        <is>
          <t>Cloud hosting (AWS/Azure)</t>
        </is>
      </c>
      <c r="D68" s="341" t="inlineStr">
        <is>
          <t>$18-31K/half</t>
        </is>
      </c>
      <c r="E68" s="341" t="inlineStr">
        <is>
          <t>https://aws.amazon.com/ec2/pricing/on-demand/</t>
        </is>
      </c>
      <c r="F68" s="341" t="inlineStr">
        <is>
          <t>AWS EC2 on-demand + https://azure.microsoft.com/en-ca/pricing/ + https://cloud.google.com/pricing. Verified 2026-07-03.</t>
        </is>
      </c>
    </row>
    <row r="69">
      <c r="A69" s="342" t="n">
        <v>32</v>
      </c>
      <c r="B69" s="342" t="inlineStr">
        <is>
          <t>OpEx / Blockchain</t>
        </is>
      </c>
      <c r="C69" s="342" t="inlineStr">
        <is>
          <t>Blockchain infra (nodes/RPC)</t>
        </is>
      </c>
      <c r="D69" s="342" t="inlineStr">
        <is>
          <t>$12-17K/half</t>
        </is>
      </c>
      <c r="E69" s="342" t="inlineStr">
        <is>
          <t>https://chainstack.com/pricing/</t>
        </is>
      </c>
      <c r="F69" s="342" t="inlineStr">
        <is>
          <t>Chainstack + https://www.alchemy.com/pricing + https://www.infura.io/pricing. Verified 2026-07-03.</t>
        </is>
      </c>
    </row>
    <row r="70">
      <c r="A70" s="341" t="n">
        <v>33</v>
      </c>
      <c r="B70" s="341" t="inlineStr">
        <is>
          <t>OpEx / Compliance</t>
        </is>
      </c>
      <c r="C70" s="341" t="inlineStr">
        <is>
          <t>KYC/AML vendor (iComply partnership)</t>
        </is>
      </c>
      <c r="D70" s="341" t="inlineStr">
        <is>
          <t>Phase 2 onwards</t>
        </is>
      </c>
      <c r="E70" s="341" t="inlineStr">
        <is>
          <t>https://icomplyis.com/pricing/</t>
        </is>
      </c>
      <c r="F70" s="341" t="inlineStr">
        <is>
          <t>iComply KYC/AML pricing (Canadian vendor). Verified 2026-07-03. Alternates: https://www.trulioo.com/, https://sumsub.com/pricing/, https://withpersona.com/pricing</t>
        </is>
      </c>
    </row>
    <row r="71">
      <c r="A71" s="342" t="n">
        <v>34</v>
      </c>
      <c r="B71" s="342" t="inlineStr">
        <is>
          <t>OpEx / Overhead</t>
        </is>
      </c>
      <c r="C71" s="342" t="inlineStr">
        <is>
          <t>Office rent &amp; utilities (Calgary)</t>
        </is>
      </c>
      <c r="D71" s="342" t="inlineStr">
        <is>
          <t>$12-42K/half</t>
        </is>
      </c>
      <c r="E71" s="342" t="inlineStr">
        <is>
          <t>https://www.avisonyoung.ca/en/calgary</t>
        </is>
      </c>
      <c r="F71" s="342" t="inlineStr">
        <is>
          <t>Avison Young Calgary office market + https://www.cbre.ca/insights/reports/calgary-marketreports + https://www.altusgroup.com/insights/canadian-commercial-real-estate-market-analytics/. Verified 2026-07-03.</t>
        </is>
      </c>
    </row>
    <row r="72">
      <c r="A72" s="341" t="n">
        <v>35</v>
      </c>
      <c r="B72" s="341" t="inlineStr">
        <is>
          <t>Peer / Benchmarks</t>
        </is>
      </c>
      <c r="C72" s="341" t="inlineStr">
        <is>
          <t>Cybrid Series A comparable</t>
        </is>
      </c>
      <c r="D72" s="341" t="inlineStr">
        <is>
          <t>$10M USD</t>
        </is>
      </c>
      <c r="E72" s="341" t="inlineStr">
        <is>
          <t>https://betakit.com/cybrid-closes-10-million-usd-series-a-round-to-bring-stablecoins-to-the-business-mainstream/</t>
        </is>
      </c>
      <c r="F72" s="341" t="inlineStr">
        <is>
          <t>Canadian stablecoin/fintech benchmark. Verified 2026-07-03.</t>
        </is>
      </c>
    </row>
    <row r="73">
      <c r="A73" s="342" t="n">
        <v>36</v>
      </c>
      <c r="B73" s="342" t="inlineStr">
        <is>
          <t>Peer / Benchmarks</t>
        </is>
      </c>
      <c r="C73" s="342" t="inlineStr">
        <is>
          <t>Tetra Trust funding comparable</t>
        </is>
      </c>
      <c r="D73" s="342" t="inlineStr">
        <is>
          <t>Canadian custody + stablecoin</t>
        </is>
      </c>
      <c r="E73" s="342" t="inlineStr">
        <is>
          <t>https://betakit.com/tetra-trust-parent-secures-backing-from-banks-fintech-to-launch-canadian-stablecoin-and-grow-beyond-crypto-custody/</t>
        </is>
      </c>
      <c r="F73" s="342" t="inlineStr">
        <is>
          <t>Canadian custody market benchmark. Verified 2026-07-03.</t>
        </is>
      </c>
    </row>
    <row r="74">
      <c r="A74" s="341" t="n">
        <v>37</v>
      </c>
      <c r="B74" s="341" t="inlineStr">
        <is>
          <t>Peer / Benchmarks</t>
        </is>
      </c>
      <c r="C74" s="341" t="inlineStr">
        <is>
          <t>CVCA H1 2025 pre-seed/seed slump</t>
        </is>
      </c>
      <c r="D74" s="341" t="inlineStr">
        <is>
          <t>Market context</t>
        </is>
      </c>
      <c r="E74" s="341" t="inlineStr">
        <is>
          <t>https://betakit.com/canadian-vc-pre-seed-and-seed-activity-continued-to-slump-in-h1-2025/</t>
        </is>
      </c>
      <c r="F74" s="341" t="inlineStr">
        <is>
          <t>Canadian VC pre-seed/seed activity slump H1 2025. Verified 2026-07-03.</t>
        </is>
      </c>
    </row>
    <row r="75">
      <c r="A75" s="342" t="n">
        <v>38</v>
      </c>
      <c r="B75" s="342" t="inlineStr">
        <is>
          <t>Peer / Benchmarks</t>
        </is>
      </c>
      <c r="C75" s="342" t="inlineStr">
        <is>
          <t>Runway burn multiple benchmarks 2026</t>
        </is>
      </c>
      <c r="D75" s="342" t="inlineStr">
        <is>
          <t>Market context</t>
        </is>
      </c>
      <c r="E75" s="342" t="inlineStr">
        <is>
          <t>https://runway.com/blog/burn-multiple-benchmarks-for-2026-what-good-looks-like-at-seed-to-scale</t>
        </is>
      </c>
      <c r="F75" s="342" t="inlineStr">
        <is>
          <t>Burn multiple benchmarks seed to scale. Verified 2026-07-03.</t>
        </is>
      </c>
    </row>
    <row r="76">
      <c r="A76" s="341" t="n">
        <v>39</v>
      </c>
      <c r="B76" s="341" t="inlineStr">
        <is>
          <t>Peer / Benchmarks</t>
        </is>
      </c>
      <c r="C76" s="341" t="inlineStr">
        <is>
          <t>CVCA VC intelligence Q1 2026</t>
        </is>
      </c>
      <c r="D76" s="341" t="inlineStr">
        <is>
          <t>Market context</t>
        </is>
      </c>
      <c r="E76" s="341" t="inlineStr">
        <is>
          <t>https://intelligence.cvca.ca/reports/venture-capital/2026/q1</t>
        </is>
      </c>
      <c r="F76" s="341" t="inlineStr">
        <is>
          <t>CVCA VC report Q1 2026. Verified 2026-07-03.</t>
        </is>
      </c>
    </row>
    <row r="77">
      <c r="A77" s="342" t="n">
        <v>40</v>
      </c>
      <c r="B77" s="342" t="inlineStr">
        <is>
          <t>Regulatory</t>
        </is>
      </c>
      <c r="C77" s="342" t="inlineStr">
        <is>
          <t>CIRO Digital Asset Custody Framework</t>
        </is>
      </c>
      <c r="D77" s="342" t="inlineStr">
        <is>
          <t>Regulatory framework</t>
        </is>
      </c>
      <c r="E77" s="342" t="inlineStr">
        <is>
          <t>https://www.ciro.ca/newsroom/publications/notice-ciros-digital-asset-custody-framework</t>
        </is>
      </c>
      <c r="F77" s="342" t="inlineStr">
        <is>
          <t>CIRO custody framework Feb 2026. Verified 2026-07-03.</t>
        </is>
      </c>
    </row>
    <row r="78">
      <c r="A78" s="341" t="n">
        <v>41</v>
      </c>
      <c r="B78" s="341" t="inlineStr">
        <is>
          <t>Regulatory</t>
        </is>
      </c>
      <c r="C78" s="341" t="inlineStr">
        <is>
          <t>Alberta Financial Services &amp; Fintech Sandbox</t>
        </is>
      </c>
      <c r="D78" s="341" t="inlineStr">
        <is>
          <t>Regulatory framework</t>
        </is>
      </c>
      <c r="E78" s="341" t="inlineStr">
        <is>
          <t>https://www.alberta.ca/financial-services-and-fintech-regulatory-sandbox.aspx</t>
        </is>
      </c>
      <c r="F78" s="341" t="inlineStr">
        <is>
          <t>Alberta sandbox program page. Verified 2026-07-03.</t>
        </is>
      </c>
    </row>
    <row r="79">
      <c r="A79" s="342" t="n">
        <v>42</v>
      </c>
      <c r="B79" s="342" t="inlineStr">
        <is>
          <t>Legal / IP</t>
        </is>
      </c>
      <c r="C79" s="342" t="inlineStr">
        <is>
          <t>Smart &amp; Biggar patent counsel</t>
        </is>
      </c>
      <c r="D79" s="342" t="inlineStr">
        <is>
          <t>Reference</t>
        </is>
      </c>
      <c r="E79" s="342" t="inlineStr">
        <is>
          <t>https://www.smartbiggar.ca/</t>
        </is>
      </c>
      <c r="F79" s="342" t="inlineStr">
        <is>
          <t>Canadian IP counsel benchmark. Verified 2026-07-03.</t>
        </is>
      </c>
    </row>
    <row r="80">
      <c r="A80" s="341" t="n">
        <v>43</v>
      </c>
      <c r="B80" s="341" t="inlineStr">
        <is>
          <t>Legal / IP</t>
        </is>
      </c>
      <c r="C80" s="341" t="inlineStr">
        <is>
          <t>Bereskin &amp; Parr IP counsel</t>
        </is>
      </c>
      <c r="D80" s="341" t="inlineStr">
        <is>
          <t>Reference</t>
        </is>
      </c>
      <c r="E80" s="341" t="inlineStr">
        <is>
          <t>https://www.bereskinparr.com/</t>
        </is>
      </c>
      <c r="F80" s="341" t="inlineStr">
        <is>
          <t>Canadian IP counsel benchmark. Verified 2026-07-03.</t>
        </is>
      </c>
    </row>
    <row r="81">
      <c r="A81" s="342" t="n">
        <v>44</v>
      </c>
      <c r="B81" s="342" t="inlineStr">
        <is>
          <t>Legal / Regulatory</t>
        </is>
      </c>
      <c r="C81" s="342" t="inlineStr">
        <is>
          <t>Stikeman Elliott regulatory practice</t>
        </is>
      </c>
      <c r="D81" s="342" t="inlineStr">
        <is>
          <t>Reference</t>
        </is>
      </c>
      <c r="E81" s="342" t="inlineStr">
        <is>
          <t>https://stikeman.com/en-ca/services/regulatory-crown-corporations</t>
        </is>
      </c>
      <c r="F81" s="342" t="inlineStr">
        <is>
          <t>Canadian regulatory practice benchmark. Verified 2026-07-03.</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333333"/>
    <outlinePr summaryBelow="1" summaryRight="1"/>
    <pageSetUpPr fitToPage="0"/>
  </sheetPr>
  <dimension ref="A1:D77"/>
  <sheetViews>
    <sheetView showFormulas="0" showGridLines="1" showRowColHeaders="1" showZeros="1" rightToLeft="0" tabSelected="0" showOutlineSymbols="1" defaultGridColor="1" view="normal" topLeftCell="A35" colorId="64" zoomScale="100" zoomScaleNormal="100" zoomScalePageLayoutView="100" workbookViewId="0">
      <selection pane="topLeft" activeCell="B56" activeCellId="0" sqref="B56"/>
    </sheetView>
  </sheetViews>
  <sheetFormatPr baseColWidth="8" defaultColWidth="8.66796875" defaultRowHeight="15" customHeight="0" zeroHeight="0" outlineLevelRow="0"/>
  <cols>
    <col width="28" customWidth="1" style="131" min="1" max="1"/>
    <col width="70" customWidth="1" style="131" min="2" max="2"/>
    <col width="55" customWidth="1" style="131" min="3" max="3"/>
    <col width="50" customWidth="1" style="131" min="4" max="4"/>
  </cols>
  <sheetData>
    <row r="1" ht="46.5" customHeight="1" s="133">
      <c r="A1" s="142" t="inlineStr">
        <is>
          <t>4ORM FINANCE - FORMULA REFERENCE GUIDE</t>
        </is>
      </c>
    </row>
    <row r="2" ht="15" customHeight="1" s="133">
      <c r="A2" s="143" t="inlineStr">
        <is>
          <t>Complete reference for every formula pattern used in this model | All values in CAD</t>
        </is>
      </c>
    </row>
    <row r="4" ht="15" customHeight="1" s="133">
      <c r="A4" s="150" t="inlineStr">
        <is>
          <t>REVENUE FORMULAS (Revenue Model Sheet)</t>
        </is>
      </c>
      <c r="B4" s="150" t="n"/>
      <c r="C4" s="150" t="n"/>
      <c r="D4" s="150" t="n"/>
    </row>
    <row r="5" ht="15" customHeight="1" s="133">
      <c r="A5" s="144" t="inlineStr">
        <is>
          <t>Stream / Item</t>
        </is>
      </c>
      <c r="B5" s="144" t="inlineStr">
        <is>
          <t>Formula Pattern (English)</t>
        </is>
      </c>
      <c r="C5" s="144" t="inlineStr">
        <is>
          <t>Example Cell Reference</t>
        </is>
      </c>
      <c r="D5" s="144" t="inlineStr">
        <is>
          <t>Notes</t>
        </is>
      </c>
    </row>
    <row r="6" ht="36.75" customHeight="1" s="133">
      <c r="A6" s="190" t="inlineStr">
        <is>
          <t>Settlement Fees</t>
        </is>
      </c>
      <c r="B6" s="257" t="inlineStr">
        <is>
          <t>FI Toggle × Stream Toggle × Deposits ($M) × 1,000,000 × Turnover (5x) × Token Rate (1%) × Fee Rate (1.5 bps) × Split (30%) × Ramp × Growth^(periods/2) × 0.5</t>
        </is>
      </c>
      <c r="C6" s="258" t="inlineStr">
        <is>
          <t>cp!$b$14 × CP!$B$6 × CP!B49 × 1000000 × CP!$B$29 × CP!$B$27 × CP!$B$41 × CP!$C$41 × CP!B$56 × (1+CP!$B$30)^MAX(0,(p-start)/2) × 0.5</t>
        </is>
      </c>
      <c r="D6" s="259" t="inlineStr">
        <is>
          <t>Deposit-based. 5x turnover converts deposits to settlement volume. Semi-annual (×0.5).</t>
        </is>
      </c>
    </row>
    <row r="7" ht="36.75" customHeight="1" s="133">
      <c r="A7" s="168" t="inlineStr">
        <is>
          <t>Issuance Fees</t>
        </is>
      </c>
      <c r="B7" s="213" t="inlineStr">
        <is>
          <t>FI Toggle × Stream Toggle × Lending ($M) × 1,000,000 × Token Rate (1.5%) × Fee Rate (0.5%) × Split (60%) × Ramp × Growth^(periods/2) × 0.5</t>
        </is>
      </c>
      <c r="C7" s="260" t="inlineStr">
        <is>
          <t>cp!$b$14 × CP!$B$7 × CP!C49 × 1000000 × CP!$B$28 × CP!$B$42 × CP!$C$42 × ramp × growth × 0.5</t>
        </is>
      </c>
      <c r="D7" s="214" t="inlineStr">
        <is>
          <t>Lending-based. 1.5% of lending tokenized, 0.5% issuance fee.</t>
        </is>
      </c>
    </row>
    <row r="8" ht="36.75" customHeight="1" s="133">
      <c r="A8" s="190" t="inlineStr">
        <is>
          <t>Trading Fees</t>
        </is>
      </c>
      <c r="B8" s="257" t="inlineStr">
        <is>
          <t>FI Toggle × Stream Toggle × Lending ($M) × 1,000,000 × Token Rate (1.5%) × Trading Vol % (40%) × Fee Rate (5 bps) × Split (100%) × Ramp × Growth × 0.5</t>
        </is>
      </c>
      <c r="C8" s="258" t="inlineStr">
        <is>
          <t>cp!$b$14 × CP!$B$8 × CP!C49 × 1M × CP!$B$28 × CP!$B$62 × CP!$B$43 × CP!$C$43 × ramp × growth × 0.5</t>
        </is>
      </c>
      <c r="D8" s="259" t="inlineStr">
        <is>
          <t>40% of issuance volume trades on secondary market. 4ORM keeps 100%.</t>
        </is>
      </c>
    </row>
    <row r="9" ht="36.75" customHeight="1" s="133">
      <c r="A9" s="168" t="inlineStr">
        <is>
          <t>Custody Fees</t>
        </is>
      </c>
      <c r="B9" s="213" t="inlineStr">
        <is>
          <t>FI Toggle × Stream Toggle × AUA ($M) × 1,000,000 × Token Rate (1.5%) × Fee Rate (30 bps) × Split (40%) × Ramp × Growth × 0.5</t>
        </is>
      </c>
      <c r="C9" s="260" t="inlineStr">
        <is>
          <t>cp!$b$14 × CP!$B$9 × CP!D49 × 1M × CP!$B$28 × CP!$B$44 × CP!$C$44 × ramp × growth × 0.5</t>
        </is>
      </c>
      <c r="D9" s="214" t="inlineStr">
        <is>
          <t>AUA-based. 1.5% of AUA tokenized, 30 bps annual custody fee.</t>
        </is>
      </c>
    </row>
    <row r="10" ht="36.75" customHeight="1" s="133">
      <c r="A10" s="190" t="inlineStr">
        <is>
          <t>SaaS + APIs</t>
        </is>
      </c>
      <c r="B10" s="257" t="inlineStr">
        <is>
          <t>FI Toggle × Stream Toggle × Enterprise Clients × Annual SaaS Rate × Split (80%) × Ramp × 0.5</t>
        </is>
      </c>
      <c r="C10" s="258" t="inlineStr">
        <is>
          <t>cp!$b$14 × CP!$B$10 × CP!E49 × CP!$B$45 × CP!$C$45 × ramp × 0.5</t>
        </is>
      </c>
      <c r="D10" s="259" t="inlineStr">
        <is>
          <t>No growth factor. Flat rate per enterprise client. Annual rate halved for semi-annual.</t>
        </is>
      </c>
    </row>
    <row r="11" ht="36.75" customHeight="1" s="133">
      <c r="A11" s="168" t="inlineStr">
        <is>
          <t>(reserved)</t>
        </is>
      </c>
      <c r="B11" s="213" t="inlineStr">
        <is>
          <t>Toggle × TAM ($B) × 1,000,000,000 × Market Share × Fee Rate (0.15%) × 0.5</t>
        </is>
      </c>
      <c r="C11" s="260" t="inlineStr">
        <is>
          <t>cp!$b$11 × CP!B(tam_row) × 1e9 × CP!C(tam_row) × CP!$B$63 × 0.5</t>
        </is>
      </c>
      <c r="D11" s="214" t="inlineStr">
        <is>
          <t>Market-level calculation. TAM and market share vary by period.</t>
        </is>
      </c>
    </row>
    <row r="12" ht="36.75" customHeight="1" s="133">
      <c r="A12" s="190" t="inlineStr">
        <is>
          <t>Growth Factor</t>
        </is>
      </c>
      <c r="B12" s="257" t="inlineStr">
        <is>
          <t>(1 + Annual Growth Rate) ^ MAX(0, (period_index - start_period) / 2)</t>
        </is>
      </c>
      <c r="C12" s="258" t="inlineStr">
        <is>
          <t>(1+cp!$b$30)^MAX(0,(3-1)/2) = (1.04)^1 = 1.04 for period 3 starting period 1</t>
        </is>
      </c>
      <c r="D12" s="259" t="inlineStr">
        <is>
          <t>Compounding is annual, applied to half-year periods. Division by 2 ensures annual rate.</t>
        </is>
      </c>
    </row>
    <row r="14" ht="15" customHeight="1" s="133">
      <c r="A14" s="150" t="inlineStr">
        <is>
          <t>P&amp;L FORMULAS (5-Year P&amp;L Summary Sheet)</t>
        </is>
      </c>
      <c r="B14" s="150" t="n"/>
      <c r="C14" s="150" t="n"/>
      <c r="D14" s="150" t="n"/>
    </row>
    <row r="15" ht="15" customHeight="1" s="133">
      <c r="A15" s="144" t="inlineStr">
        <is>
          <t>Line Item</t>
        </is>
      </c>
      <c r="B15" s="144" t="inlineStr">
        <is>
          <t>Formula Pattern</t>
        </is>
      </c>
      <c r="C15" s="144" t="inlineStr">
        <is>
          <t>Reference</t>
        </is>
      </c>
      <c r="D15" s="144" t="inlineStr">
        <is>
          <t>Notes</t>
        </is>
      </c>
    </row>
    <row r="16" ht="16.5" customHeight="1" s="133">
      <c r="A16" s="190" t="inlineStr">
        <is>
          <t>Revenue Lines</t>
        </is>
      </c>
      <c r="B16" s="257" t="inlineStr">
        <is>
          <t>Each stream pulls from Revenue Model stream breakdown section (ALL FIs summed)</t>
        </is>
      </c>
      <c r="C16" s="258" t="inlineStr">
        <is>
          <t>'revenue model'!{col}{row} - green font = cross-sheet reference</t>
        </is>
      </c>
      <c r="D16" s="259" t="inlineStr">
        <is>
          <t>P&amp;L col B = Revenue Model col C (offset +1 in columns)</t>
        </is>
      </c>
    </row>
    <row r="17" ht="16.5" customHeight="1" s="133">
      <c r="A17" s="168" t="inlineStr">
        <is>
          <t>Total Revenue</t>
        </is>
      </c>
      <c r="B17" s="213" t="inlineStr">
        <is>
          <t>Sum of all 6 revenue stream rows</t>
        </is>
      </c>
      <c r="C17" s="260" t="inlineStr">
        <is>
          <t>B6+B7+B8+B9+B10+B11</t>
        </is>
      </c>
      <c r="D17" s="214" t="inlineStr">
        <is>
          <t>Settlement + Issuance + Trading + Custody + SaaS + (reserved)</t>
        </is>
      </c>
    </row>
    <row r="18" ht="16.5" customHeight="1" s="133">
      <c r="A18" s="190" t="inlineStr">
        <is>
          <t>Total DevEx</t>
        </is>
      </c>
      <c r="B18" s="257" t="inlineStr">
        <is>
          <t>References DevEx sheet total row directly</t>
        </is>
      </c>
      <c r="C18" s="258" t="inlineStr">
        <is>
          <t>'devex - build costs'!{col}{row}</t>
        </is>
      </c>
      <c r="D18" s="259" t="inlineStr">
        <is>
          <t>P&amp;L col B → DevEx col C (offset +1). Green font.</t>
        </is>
      </c>
    </row>
    <row r="19" ht="16.5" customHeight="1" s="133">
      <c r="A19" s="168" t="inlineStr">
        <is>
          <t>Total OpEx</t>
        </is>
      </c>
      <c r="B19" s="213" t="inlineStr">
        <is>
          <t>References OpEx sheet total row directly</t>
        </is>
      </c>
      <c r="C19" s="260" t="inlineStr">
        <is>
          <t>'opex - ongoing'!{col}{row}</t>
        </is>
      </c>
      <c r="D19" s="214" t="inlineStr">
        <is>
          <t>P&amp;L col B → OpEx col C (offset +1). Green font.</t>
        </is>
      </c>
    </row>
    <row r="20" ht="16.5" customHeight="1" s="133">
      <c r="A20" s="190" t="inlineStr">
        <is>
          <t>Total All Expenses</t>
        </is>
      </c>
      <c r="B20" s="257" t="inlineStr">
        <is>
          <t>Total DevEx + Total OpEx</t>
        </is>
      </c>
      <c r="C20" s="258" t="inlineStr">
        <is>
          <t>B(devex_row)+B(opex_row)</t>
        </is>
      </c>
      <c r="D20" s="259" t="inlineStr">
        <is>
          <t>Red font indicates expense total.</t>
        </is>
      </c>
    </row>
    <row r="21" ht="16.5" customHeight="1" s="133">
      <c r="A21" s="168" t="inlineStr">
        <is>
          <t>Net Profit (Loss)</t>
        </is>
      </c>
      <c r="B21" s="213" t="inlineStr">
        <is>
          <t>Total Revenue - Total All Expenses</t>
        </is>
      </c>
      <c r="C21" s="260" t="inlineStr">
        <is>
          <t>B(rev_row)-B(exp_row)</t>
        </is>
      </c>
      <c r="D21" s="214" t="inlineStr">
        <is>
          <t>Double border. Bold 11pt.</t>
        </is>
      </c>
    </row>
    <row r="22" ht="16.5" customHeight="1" s="133">
      <c r="A22" s="190" t="inlineStr">
        <is>
          <t>Net Margin %</t>
        </is>
      </c>
      <c r="B22" s="257" t="inlineStr">
        <is>
          <t>IF(Revenue=0, 0, Net Profit / Revenue)</t>
        </is>
      </c>
      <c r="C22" s="258" t="inlineStr">
        <is>
          <t>IF(B12=0,0,B22/B12)</t>
        </is>
      </c>
      <c r="D22" s="259" t="inlineStr">
        <is>
          <t>Shows profitability per period.</t>
        </is>
      </c>
    </row>
    <row r="23" ht="30" customHeight="1" s="133">
      <c r="A23" s="168" t="inlineStr">
        <is>
          <t>Cumulative Net Income</t>
        </is>
      </c>
      <c r="B23" s="213" t="inlineStr">
        <is>
          <t>Running total: first period = Net Profit, subsequent = previous cumulative + current Net Profit</t>
        </is>
      </c>
      <c r="C23" s="260" t="inlineStr">
        <is>
          <t>B(prev_row)+c(net_row)</t>
        </is>
      </c>
      <c r="D23" s="214" t="inlineStr">
        <is>
          <t>Shows when the business reaches breakeven.</t>
        </is>
      </c>
    </row>
    <row r="25" ht="15" customHeight="1" s="133">
      <c r="A25" s="150" t="inlineStr">
        <is>
          <t>KEY CONTROL PANEL REFERENCES</t>
        </is>
      </c>
      <c r="B25" s="150" t="n"/>
      <c r="C25" s="150" t="n"/>
      <c r="D25" s="150" t="n"/>
    </row>
    <row r="26" ht="15" customHeight="1" s="133">
      <c r="A26" s="144" t="inlineStr">
        <is>
          <t>Parameter</t>
        </is>
      </c>
      <c r="B26" s="144" t="inlineStr">
        <is>
          <t>Cell Reference</t>
        </is>
      </c>
      <c r="C26" s="144" t="inlineStr">
        <is>
          <t>Default Value</t>
        </is>
      </c>
      <c r="D26" s="144" t="inlineStr">
        <is>
          <t>Description</t>
        </is>
      </c>
    </row>
    <row r="27" ht="15" customHeight="1" s="133">
      <c r="A27" s="168" t="inlineStr">
        <is>
          <t>Stream Toggles</t>
        </is>
      </c>
      <c r="B27" s="213" t="inlineStr">
        <is>
          <t>B6:B11</t>
        </is>
      </c>
      <c r="C27" s="260" t="inlineStr">
        <is>
          <t>1 (all ON)</t>
        </is>
      </c>
      <c r="D27" s="214" t="inlineStr">
        <is>
          <t>Enable/disable individual revenue streams</t>
        </is>
      </c>
    </row>
    <row r="28" ht="15" customHeight="1" s="133">
      <c r="A28" s="190" t="inlineStr">
        <is>
          <t>FI Toggles</t>
        </is>
      </c>
      <c r="B28" s="257" t="inlineStr">
        <is>
          <t>B14:B17</t>
        </is>
      </c>
      <c r="C28" s="258" t="inlineStr">
        <is>
          <t>1 (all ON)</t>
        </is>
      </c>
      <c r="D28" s="259" t="inlineStr">
        <is>
          <t>Enable/disable individual financial institutions</t>
        </is>
      </c>
    </row>
    <row r="29" ht="15" customHeight="1" s="133">
      <c r="A29" s="168" t="inlineStr">
        <is>
          <t>Deposit Tokenization</t>
        </is>
      </c>
      <c r="B29" s="213" t="inlineStr">
        <is>
          <t>B27</t>
        </is>
      </c>
      <c r="C29" s="260" t="inlineStr">
        <is>
          <t>1.0%</t>
        </is>
      </c>
      <c r="D29" s="214" t="inlineStr">
        <is>
          <t>Percentage of FI deposits tokenized</t>
        </is>
      </c>
    </row>
    <row r="30" ht="15" customHeight="1" s="133">
      <c r="A30" s="190" t="inlineStr">
        <is>
          <t>Issuance/Custody Token</t>
        </is>
      </c>
      <c r="B30" s="257" t="inlineStr">
        <is>
          <t>B28</t>
        </is>
      </c>
      <c r="C30" s="258" t="inlineStr">
        <is>
          <t>1.5%</t>
        </is>
      </c>
      <c r="D30" s="259" t="inlineStr">
        <is>
          <t>Percentage of lending/AUA tokenized</t>
        </is>
      </c>
    </row>
    <row r="31" ht="15" customHeight="1" s="133">
      <c r="A31" s="168" t="inlineStr">
        <is>
          <t>Turnover Multiplier</t>
        </is>
      </c>
      <c r="B31" s="213" t="inlineStr">
        <is>
          <t>B29</t>
        </is>
      </c>
      <c r="C31" s="260" t="inlineStr">
        <is>
          <t>5x</t>
        </is>
      </c>
      <c r="D31" s="214" t="inlineStr">
        <is>
          <t>Annual deposit turnover for settlement volume</t>
        </is>
      </c>
    </row>
    <row r="32" ht="15" customHeight="1" s="133">
      <c r="A32" s="190" t="inlineStr">
        <is>
          <t>Annual Growth</t>
        </is>
      </c>
      <c r="B32" s="257" t="inlineStr">
        <is>
          <t>B30</t>
        </is>
      </c>
      <c r="C32" s="258" t="inlineStr">
        <is>
          <t>4.0%</t>
        </is>
      </c>
      <c r="D32" s="259" t="inlineStr">
        <is>
          <t>Conservative YoY growth rate</t>
        </is>
      </c>
    </row>
    <row r="33" ht="15" customHeight="1" s="133">
      <c r="A33" s="168" t="inlineStr">
        <is>
          <t>Fee Rates</t>
        </is>
      </c>
      <c r="B33" s="213" t="inlineStr">
        <is>
          <t>B41:B45</t>
        </is>
      </c>
      <c r="C33" s="260" t="inlineStr">
        <is>
          <t>Varies</t>
        </is>
      </c>
      <c r="D33" s="214" t="inlineStr">
        <is>
          <t>Fee rate per stream</t>
        </is>
      </c>
    </row>
    <row r="34" ht="15" customHeight="1" s="133">
      <c r="A34" s="190" t="inlineStr">
        <is>
          <t>Fee Splits</t>
        </is>
      </c>
      <c r="B34" s="257" t="inlineStr">
        <is>
          <t>C41:C45</t>
        </is>
      </c>
      <c r="C34" s="258" t="inlineStr">
        <is>
          <t>30-100%</t>
        </is>
      </c>
      <c r="D34" s="259" t="inlineStr">
        <is>
          <t>4ORM revenue share per stream</t>
        </is>
      </c>
    </row>
    <row r="35" ht="15" customHeight="1" s="133">
      <c r="A35" s="168" t="inlineStr">
        <is>
          <t>FI Data</t>
        </is>
      </c>
      <c r="B35" s="213" t="inlineStr">
        <is>
          <t>B49:F52</t>
        </is>
      </c>
      <c r="C35" s="260" t="inlineStr">
        <is>
          <t>Varies</t>
        </is>
      </c>
      <c r="D35" s="214" t="inlineStr">
        <is>
          <t>Deposits, lending, AUA, clients, start period</t>
        </is>
      </c>
    </row>
    <row r="36" ht="15" customHeight="1" s="133">
      <c r="A36" s="190" t="inlineStr">
        <is>
          <t>Ramp Schedule</t>
        </is>
      </c>
      <c r="B36" s="257" t="inlineStr">
        <is>
          <t>B56:L59</t>
        </is>
      </c>
      <c r="C36" s="258" t="inlineStr">
        <is>
          <t>0-1.0</t>
        </is>
      </c>
      <c r="D36" s="259" t="inlineStr">
        <is>
          <t>11-period onboarding ramp (0=off, 0.5=ramp, 1=full)</t>
        </is>
      </c>
    </row>
    <row r="38" ht="15" customHeight="1" s="133">
      <c r="A38" s="150" t="inlineStr">
        <is>
          <t>SEMI-ANNUAL CONVERSION NOTES</t>
        </is>
      </c>
      <c r="B38" s="150" t="n"/>
      <c r="C38" s="150" t="n"/>
      <c r="D38" s="150" t="n"/>
    </row>
    <row r="40" ht="16.5" customHeight="1" s="133">
      <c r="A40" s="261" t="inlineStr">
        <is>
          <t>All annual volumes are divided by 2 (×0.5) for each semi-annual period.</t>
        </is>
      </c>
    </row>
    <row r="41" ht="16.5" customHeight="1" s="133">
      <c r="A41" s="261" t="inlineStr">
        <is>
          <t>Growth is applied per year elapsed: (1+g)^(periods_elapsed/2). Period 0 = H2 2026, Period 1 = H1 2027, etc.</t>
        </is>
      </c>
    </row>
    <row r="42" ht="16.5" customHeight="1" s="133">
      <c r="A42" s="261" t="inlineStr">
        <is>
          <t>FI Start Period: ATB=1 (H1 2027), BVCU=1 (H1 2027), Servus=3 (H1 2028), Vancity=3 (H1 2028). Ramp at 50% first half, 100% thereafter.</t>
        </is>
      </c>
    </row>
    <row r="43" ht="16.5" customHeight="1" s="133">
      <c r="A43" s="261" t="inlineStr">
        <is>
          <t>SaaS revenue has NO growth factor - it's a flat rate per enterprise client, scaled by ramp only.</t>
        </is>
      </c>
    </row>
    <row r="44" ht="16.5" customHeight="1" s="133">
      <c r="A44" s="261" t="inlineStr">
        <is>
          <t>(reserved) uses market-level TAM × market share × fee, NOT per-FI. TAM and share are set per period on Control Panel.</t>
        </is>
      </c>
    </row>
    <row r="46" ht="15" customHeight="1" s="133">
      <c r="A46" s="314" t="inlineStr">
        <is>
          <t>M2-ADJUSTED GROWTH RATES</t>
        </is>
      </c>
      <c r="B46" s="165" t="n"/>
      <c r="C46" s="165" t="n"/>
      <c r="D46" s="165" t="n"/>
    </row>
    <row r="47" ht="15" customHeight="1" s="133">
      <c r="A47" s="144" t="inlineStr">
        <is>
          <t>Parameter</t>
        </is>
      </c>
      <c r="B47" s="144" t="inlineStr">
        <is>
          <t>Formula Pattern</t>
        </is>
      </c>
      <c r="C47" s="144" t="inlineStr">
        <is>
          <t>Example</t>
        </is>
      </c>
      <c r="D47" s="144" t="inlineStr">
        <is>
          <t>Notes</t>
        </is>
      </c>
    </row>
    <row r="48" ht="27.75" customHeight="1" s="133">
      <c r="A48" s="168" t="inlineStr">
        <is>
          <t>Per-FI Growth Rate</t>
        </is>
      </c>
      <c r="B48" s="213" t="inlineStr">
        <is>
          <t>IF(Use_Custom=1, Custom_Rate, Global_Rate)</t>
        </is>
      </c>
      <c r="C48" s="260" t="inlineStr">
        <is>
          <t>IF(CP!$D$90=1, CP!$C$90, CP!$B$30)</t>
        </is>
      </c>
      <c r="D48" s="214" t="inlineStr">
        <is>
          <t>Each FI can override the global 4% growth with its own M2-correlated rate</t>
        </is>
      </c>
    </row>
    <row r="49" ht="21.75" customHeight="1" s="133">
      <c r="A49" s="168" t="inlineStr">
        <is>
          <t>Effective M2 Rate</t>
        </is>
      </c>
      <c r="B49" s="213" t="inlineStr">
        <is>
          <t>M2 Growth Rate × FI Correlation Factor</t>
        </is>
      </c>
      <c r="C49" s="260" t="inlineStr">
        <is>
          <t>5.7% × 0.75 = 4.275% (ATB Base Case)</t>
        </is>
      </c>
      <c r="D49" s="214" t="inlineStr">
        <is>
          <t>M2 scenarios: Bear 2%, Base 5.7%, Bull 9.85%. ATB corr ~0.75</t>
        </is>
      </c>
    </row>
    <row r="50" ht="27" customHeight="1" s="133">
      <c r="A50" s="168" t="inlineStr">
        <is>
          <t>Growth in Revenue</t>
        </is>
      </c>
      <c r="B50" s="213" t="inlineStr">
        <is>
          <t>Revenue formula growth factor becomes: (1 + per_FI_growth)^(periods/2)</t>
        </is>
      </c>
      <c r="C50" s="260" t="inlineStr">
        <is>
          <t>If ATB custom=6.8%: (1.068)^1 = 1.068 vs default (1.04)^1 = 1.04</t>
        </is>
      </c>
      <c r="D50" s="214" t="inlineStr">
        <is>
          <t>~70% more growth with M2-adjusted rate. Toggle "Use Custom" to switch.</t>
        </is>
      </c>
    </row>
    <row r="52" ht="15" customHeight="1" s="133">
      <c r="A52" s="315" t="inlineStr">
        <is>
          <t>TOKENIZATION PENETRATION RAMP</t>
        </is>
      </c>
      <c r="B52" s="167" t="n"/>
      <c r="C52" s="167" t="n"/>
      <c r="D52" s="167" t="n"/>
    </row>
    <row r="53" ht="15" customHeight="1" s="133">
      <c r="A53" s="144" t="inlineStr">
        <is>
          <t>Parameter</t>
        </is>
      </c>
      <c r="B53" s="144" t="inlineStr">
        <is>
          <t>Formula Pattern</t>
        </is>
      </c>
      <c r="C53" s="144" t="inlineStr">
        <is>
          <t>Example</t>
        </is>
      </c>
      <c r="D53" s="144" t="inlineStr">
        <is>
          <t>Notes</t>
        </is>
      </c>
    </row>
    <row r="54" ht="27" customHeight="1" s="133">
      <c r="A54" s="168" t="inlineStr">
        <is>
          <t>Deposit Token Rate</t>
        </is>
      </c>
      <c r="B54" s="213" t="inlineStr">
        <is>
          <t>IF(Use_Ramp=1, per_period_deposit_%, flat_1%)</t>
        </is>
      </c>
      <c r="C54" s="260" t="inlineStr">
        <is>
          <t>IF(CP!$B$100=1, CP!B$98, CP!$B$27)</t>
        </is>
      </c>
      <c r="D54" s="214" t="inlineStr">
        <is>
          <t>Default ramp: 1% (2027) → 2% (2028) → 3% (2029) → 4% (2030) → 5% (2031). Set toggle=0 for flat 1%.</t>
        </is>
      </c>
    </row>
    <row r="55" ht="24.75" customHeight="1" s="133">
      <c r="A55" s="168" t="inlineStr">
        <is>
          <t>Issuance/Custody Token Rate</t>
        </is>
      </c>
      <c r="B55" s="213" t="inlineStr">
        <is>
          <t>IF(Use_Ramp=1, per_period_issuance_%, flat_1.5%)</t>
        </is>
      </c>
      <c r="C55" s="260" t="inlineStr">
        <is>
          <t>IF(CP!$B$100=1, CP!B$99, CP!$B$28)</t>
        </is>
      </c>
      <c r="D55" s="214" t="inlineStr">
        <is>
          <t>Default ramp: 1.5% (2027) → 3% (2028) → 4.5% (2029) → 6% (2030) → 7.5% (2031). Tracks 1.5x deposit rate.</t>
        </is>
      </c>
    </row>
    <row r="56" ht="27" customHeight="1" s="133">
      <c r="A56" s="168" t="inlineStr">
        <is>
          <t>Settlement Formula (Updated)</t>
        </is>
      </c>
      <c r="B56" s="213" t="inlineStr">
        <is>
          <t>FI_Toggle × Stream_Toggle × Deposits$M × 1M × Turnover × IF(Ramp, period_dep_%, flat_1%) × Fee × Split × Ramp × Growth × 0.5</t>
        </is>
      </c>
      <c r="C56" s="260" t="inlineStr">
        <is>
          <t>Deposit token rate now scales per period instead of fixed 1%</t>
        </is>
      </c>
      <c r="D56" s="214" t="inlineStr">
        <is>
          <t>With ramp ON: 5% tokenization in 2031 = 5x the Year 1 volume on same deposit base</t>
        </is>
      </c>
    </row>
    <row r="57" ht="25.5" customHeight="1" s="133">
      <c r="A57" s="168" t="inlineStr">
        <is>
          <t>Impact on Revenue</t>
        </is>
      </c>
      <c r="B57" s="213" t="inlineStr">
        <is>
          <t>Ramp ON dramatically increases Year 3-5 revenue as tokenization penetration scales from 1% to 5%</t>
        </is>
      </c>
      <c r="C57" s="260" t="inlineStr">
        <is>
          <t>Year 5 at 5% deposit token = 5x settlement volume vs flat 1%. Issuance/custody at 7.5% = 5x custody/issuance.</t>
        </is>
      </c>
      <c r="D57" s="214" t="inlineStr">
        <is>
          <t>Consistent with McKinsey 75% CAGR forecast and JPM Kinexys 10x YoY growth trajectory.</t>
        </is>
      </c>
    </row>
    <row r="59" ht="15" customHeight="1" s="133">
      <c r="A59" s="314" t="inlineStr">
        <is>
          <t>NON-DILUTIVE CAPITAL / GRANTS FORMULAS</t>
        </is>
      </c>
      <c r="B59" s="250" t="n"/>
      <c r="C59" s="250" t="n"/>
      <c r="D59" s="250" t="n"/>
    </row>
    <row r="60" ht="15" customHeight="1" s="133">
      <c r="A60" s="144" t="inlineStr">
        <is>
          <t>Item</t>
        </is>
      </c>
      <c r="B60" s="144" t="inlineStr">
        <is>
          <t>Formula Pattern</t>
        </is>
      </c>
      <c r="C60" s="144" t="inlineStr">
        <is>
          <t>Cell Reference</t>
        </is>
      </c>
      <c r="D60" s="144" t="inlineStr">
        <is>
          <t>Description</t>
        </is>
      </c>
    </row>
    <row r="61" ht="15" customHeight="1" s="133">
      <c r="A61" s="153" t="inlineStr">
        <is>
          <t>Grant Toggle</t>
        </is>
      </c>
      <c r="B61" s="262" t="inlineStr">
        <is>
          <t>IF(B{toggle_row}=1,"ON","OFF")</t>
        </is>
      </c>
      <c r="C61" s="176" t="inlineStr">
        <is>
          <t>Control Panel C114+</t>
        </is>
      </c>
      <c r="D61" s="177" t="inlineStr">
        <is>
          <t>Each grant has ON/OFF toggle (1/0) in column B</t>
        </is>
      </c>
    </row>
    <row r="62" ht="15" customHeight="1" s="133">
      <c r="A62" s="243" t="inlineStr">
        <is>
          <t>Grant Period Amount</t>
        </is>
      </c>
      <c r="B62" s="263" t="inlineStr">
        <is>
          <t>Editable input (yellow)</t>
        </is>
      </c>
      <c r="C62" s="173" t="inlineStr">
        <is>
          <t>Control Panel C-M rows 126-133</t>
        </is>
      </c>
      <c r="D62" s="174" t="inlineStr">
        <is>
          <t>User-editable funding amount per semi-annual period</t>
        </is>
      </c>
    </row>
    <row r="63" ht="15" customHeight="1" s="133">
      <c r="A63" s="153" t="inlineStr">
        <is>
          <t>Grant Total (per period)</t>
        </is>
      </c>
      <c r="B63" s="262" t="inlineStr">
        <is>
          <t>SUM of (amount × toggle) for all grants</t>
        </is>
      </c>
      <c r="C63" s="176" t="inlineStr">
        <is>
          <t>Control Panel C-M row 134</t>
        </is>
      </c>
      <c r="D63" s="177" t="inlineStr">
        <is>
          <t>Sums only toggled-ON grant amounts for each period</t>
        </is>
      </c>
    </row>
    <row r="64" ht="15" customHeight="1" s="133">
      <c r="A64" s="243" t="inlineStr">
        <is>
          <t>P&amp;L Grant Income</t>
        </is>
      </c>
      <c r="B64" s="263" t="inlineStr">
        <is>
          <t>'Control Panel'!{col}134</t>
        </is>
      </c>
      <c r="C64" s="173" t="inlineStr">
        <is>
          <t>P&amp;L row 14</t>
        </is>
      </c>
      <c r="D64" s="174" t="inlineStr">
        <is>
          <t>Pulls total toggled grant income from Control Panel</t>
        </is>
      </c>
    </row>
    <row r="65" ht="15" customHeight="1" s="133">
      <c r="A65" s="153" t="inlineStr">
        <is>
          <t>P&amp;L Total Rev + Grants</t>
        </is>
      </c>
      <c r="B65" s="262" t="inlineStr">
        <is>
          <t>Revenue + Grant Income</t>
        </is>
      </c>
      <c r="C65" s="176" t="inlineStr">
        <is>
          <t>P&amp;L row 15</t>
        </is>
      </c>
      <c r="D65" s="177" t="inlineStr">
        <is>
          <t>Total Revenue (row 12) + Grant Income (row 14)</t>
        </is>
      </c>
    </row>
    <row r="66" ht="15" customHeight="1" s="133">
      <c r="A66" s="243" t="inlineStr">
        <is>
          <t>P&amp;L Net Profit</t>
        </is>
      </c>
      <c r="B66" s="263" t="inlineStr">
        <is>
          <t>(Revenue + Grants) - Expenses</t>
        </is>
      </c>
      <c r="C66" s="173" t="inlineStr">
        <is>
          <t>P&amp;L row 25</t>
        </is>
      </c>
      <c r="D66" s="174" t="inlineStr">
        <is>
          <t>Now includes non-dilutive capital in net calculation</t>
        </is>
      </c>
    </row>
    <row r="67" ht="15" customHeight="1" s="133">
      <c r="A67" s="153" t="inlineStr">
        <is>
          <t>Summary Grant Rows</t>
        </is>
      </c>
      <c r="B67" s="262" t="inlineStr">
        <is>
          <t>Toggle × Period Amount (per grant)</t>
        </is>
      </c>
      <c r="C67" s="176" t="inlineStr">
        <is>
          <t>Summary rows 67-74</t>
        </is>
      </c>
      <c r="D67" s="177" t="inlineStr">
        <is>
          <t>Each grant shown separately with toggle-aware formula</t>
        </is>
      </c>
    </row>
    <row r="68" ht="15" customHeight="1" s="133">
      <c r="A68" s="243" t="inlineStr">
        <is>
          <t>Key Metrics update</t>
        </is>
      </c>
      <c r="B68" s="263" t="inlineStr">
        <is>
          <t>Net Income now includes grants</t>
        </is>
      </c>
      <c r="C68" s="173" t="inlineStr">
        <is>
          <t>Summary B6, B7, B8, B10</t>
        </is>
      </c>
      <c r="D68" s="174" t="inlineStr">
        <is>
          <t>5-Year figures now reflect grant income in totals</t>
        </is>
      </c>
    </row>
    <row r="70" ht="15" customHeight="1" s="133">
      <c r="A70" s="334" t="inlineStr">
        <is>
          <t>V8 - SAVINGS SHARE STREAM &amp; TOGGLE WIRING</t>
        </is>
      </c>
    </row>
    <row r="71" ht="15" customHeight="1" s="133">
      <c r="A71" s="185" t="inlineStr">
        <is>
          <t>Savings Share revenue</t>
        </is>
      </c>
      <c r="B71" s="185" t="inlineStr">
        <is>
          <t>FI Toggle x Stream Toggle (CP B138) x Annual Savings (CP B140-143) x Capture % (CP B139) x Ramp x Growth x 0.5</t>
        </is>
      </c>
      <c r="C71" s="185" t="inlineStr">
        <is>
          <t>Revenue Model rows 51-54</t>
        </is>
      </c>
      <c r="D71" s="185" t="inlineStr">
        <is>
          <t>Same ramp/growth pattern as other streams; semi-annual x0.5</t>
        </is>
      </c>
    </row>
    <row r="72" ht="15" customHeight="1" s="133">
      <c r="A72" s="185" t="inlineStr">
        <is>
          <t>Savings subtotal</t>
        </is>
      </c>
      <c r="B72" s="185" t="inlineStr">
        <is>
          <t>Sum of 4 FI savings-share rows</t>
        </is>
      </c>
      <c r="C72" s="185" t="inlineStr">
        <is>
          <t>Revenue Model row 55</t>
        </is>
      </c>
      <c r="D72" s="185" t="inlineStr">
        <is>
          <t>Flows into TOTAL REVENUE row 58 and breakdown row 68</t>
        </is>
      </c>
    </row>
    <row r="73" ht="15" customHeight="1" s="133">
      <c r="A73" s="185" t="inlineStr">
        <is>
          <t>P&amp;L stream line</t>
        </is>
      </c>
      <c r="B73" s="185" t="inlineStr">
        <is>
          <t>Pulls Revenue Model row 68</t>
        </is>
      </c>
      <c r="C73" s="185" t="inlineStr">
        <is>
          <t>P&amp;L row 12</t>
        </is>
      </c>
      <c r="D73" s="185" t="inlineStr">
        <is>
          <t>TOTAL REVENUE (row 13) includes it</t>
        </is>
      </c>
    </row>
    <row r="74" ht="15" customHeight="1" s="133">
      <c r="A74" s="185" t="inlineStr">
        <is>
          <t>Scenario switch (P&amp;L)</t>
        </is>
      </c>
      <c r="B74" s="185" t="inlineStr">
        <is>
          <t>IF(CP B20=1, the platform Build total, Traditional total)</t>
        </is>
      </c>
      <c r="C74" s="185" t="inlineStr">
        <is>
          <t>P&amp;L rows 19 &amp; 22</t>
        </is>
      </c>
      <c r="D74" s="185" t="inlineStr">
        <is>
          <t>Master the platform Build/Traditional toggle drives the P&amp;L</t>
        </is>
      </c>
    </row>
    <row r="75" ht="15" customHeight="1" s="133">
      <c r="A75" s="185" t="inlineStr">
        <is>
          <t>SPEER gating</t>
        </is>
      </c>
      <c r="B75" s="185" t="inlineStr">
        <is>
          <t>Constant x CP toggle (B22 / B23)</t>
        </is>
      </c>
      <c r="C75" s="185" t="inlineStr">
        <is>
          <t>DevEx rows 6-10</t>
        </is>
      </c>
      <c r="D75" s="185" t="inlineStr">
        <is>
          <t>HST = 13% of toggled phases</t>
        </is>
      </c>
    </row>
    <row r="76" ht="15" customHeight="1" s="133">
      <c r="A76" s="185" t="inlineStr">
        <is>
          <t>SR&amp;ED gating</t>
        </is>
      </c>
      <c r="B76" s="185" t="inlineStr">
        <is>
          <t>Credit x CP B24</t>
        </is>
      </c>
      <c r="C76" s="185" t="inlineStr">
        <is>
          <t>OpEx row 37</t>
        </is>
      </c>
      <c r="D76" s="185" t="inlineStr">
        <is>
          <t>Negative expense only when ON</t>
        </is>
      </c>
    </row>
    <row r="77" ht="15" customHeight="1" s="133">
      <c r="A77" s="185" t="inlineStr">
        <is>
          <t>Team comp link</t>
        </is>
      </c>
      <c r="B77" s="185" t="inlineStr">
        <is>
          <t>Links to Team Roadmap row 38 x (1+CP B36)^years</t>
        </is>
      </c>
      <c r="C77" s="185" t="inlineStr">
        <is>
          <t>OpEx row 6 / Roadmap row 38</t>
        </is>
      </c>
      <c r="D77" s="185" t="inlineStr">
        <is>
          <t>Escalation now applied; stale hardcodes removed</t>
        </is>
      </c>
    </row>
  </sheetData>
  <mergeCells count="7">
    <mergeCell ref="A1:D1"/>
    <mergeCell ref="A40:D40"/>
    <mergeCell ref="A43:D43"/>
    <mergeCell ref="A41:D41"/>
    <mergeCell ref="A2:D2"/>
    <mergeCell ref="A42:D42"/>
    <mergeCell ref="A44:D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42" customWidth="1" style="133" min="1" max="1"/>
    <col width="18" customWidth="1" style="133" min="2" max="2"/>
    <col width="12" customWidth="1" style="133" min="3" max="3"/>
    <col width="60" customWidth="1" style="133" min="4" max="4"/>
  </cols>
  <sheetData>
    <row r="1">
      <c r="A1" s="343" t="inlineStr">
        <is>
          <t>4ORM FINANCE - PRE-SEED DEPLOYMENT PLAN</t>
        </is>
      </c>
    </row>
    <row r="2">
      <c r="A2" s="344">
        <f>"$" &amp; TEXT('Control Panel'!B147,"#,##0") &amp; " CAD | 15-Month Runway | " &amp; TEXT('Control Panel'!B150,"0%") &amp; " Reserve ($" &amp; TEXT('Control Panel'!B147*'Control Panel'!B150,"#,##0") &amp; ")"</f>
        <v/>
      </c>
    </row>
    <row r="4">
      <c r="A4" s="337" t="inlineStr">
        <is>
          <t>USE OF PROCEEDS</t>
        </is>
      </c>
    </row>
    <row r="5">
      <c r="A5" s="338" t="inlineStr">
        <is>
          <t>Category</t>
        </is>
      </c>
      <c r="B5" s="338" t="inlineStr">
        <is>
          <t>Amount CAD</t>
        </is>
      </c>
      <c r="C5" s="338" t="inlineStr">
        <is>
          <t>% of $3.5M</t>
        </is>
      </c>
      <c r="D5" s="338" t="inlineStr">
        <is>
          <t>Notes</t>
        </is>
      </c>
    </row>
    <row r="6">
      <c r="A6" s="266" t="inlineStr">
        <is>
          <t>Team (comp + 18% benefits)</t>
        </is>
      </c>
      <c r="B6" s="273">
        <f>D28</f>
        <v/>
      </c>
      <c r="C6" s="274">
        <f>B6/'Control Panel'!$B$147</f>
        <v/>
      </c>
      <c r="D6" s="266" t="inlineStr">
        <is>
          <t>7 employees + 3 advisor retainers + fractional CFO. 15 months post-close.</t>
        </is>
      </c>
    </row>
    <row r="7">
      <c r="A7" s="266" t="inlineStr">
        <is>
          <t>Legal</t>
        </is>
      </c>
      <c r="B7" s="273" t="n">
        <v>200000</v>
      </c>
      <c r="C7" s="274">
        <f>B7/'Control Panel'!$B$147</f>
        <v/>
      </c>
      <c r="D7" s="266" t="inlineStr">
        <is>
          <t>Securities counsel, unit offering, IP, MOUs (tightened from prior estimate)</t>
        </is>
      </c>
    </row>
    <row r="8">
      <c r="A8" s="266" t="inlineStr">
        <is>
          <t>Compliance advisory</t>
        </is>
      </c>
      <c r="B8" s="273" t="n">
        <v>150000</v>
      </c>
      <c r="C8" s="274">
        <f>B8/'Control Panel'!$B$147</f>
        <v/>
      </c>
      <c r="D8" s="266" t="inlineStr">
        <is>
          <t>Alberta Sandbox prep, CIRO framework advisory</t>
        </is>
      </c>
    </row>
    <row r="9">
      <c r="A9" s="266" t="inlineStr">
        <is>
          <t>Product / DevEx</t>
        </is>
      </c>
      <c r="B9" s="273" t="n">
        <v>492000</v>
      </c>
      <c r="C9" s="274">
        <f>B9/'Control Panel'!$B$147</f>
        <v/>
      </c>
      <c r="D9" s="266" t="inlineStr">
        <is>
          <t>SPEER $317K + Chain abstraction $40K + Patent SC $30K + Sandbox prep $50K + Token opinion $30K + Provincial reg $10K + Patent filings $15K</t>
        </is>
      </c>
    </row>
    <row r="10">
      <c r="A10" s="266" t="inlineStr">
        <is>
          <t>BD + travel</t>
        </is>
      </c>
      <c r="B10" s="273" t="n">
        <v>140000</v>
      </c>
      <c r="C10" s="274">
        <f>B10/'Control Panel'!$B$147</f>
        <v/>
      </c>
      <c r="D10" s="266" t="inlineStr">
        <is>
          <t>Bank counterparty motion, MOUs, conferences (tightened)</t>
        </is>
      </c>
    </row>
    <row r="11">
      <c r="A11" s="266" t="inlineStr">
        <is>
          <t>G&amp;A</t>
        </is>
      </c>
      <c r="B11" s="273" t="n">
        <v>124000</v>
      </c>
      <c r="C11" s="274">
        <f>B11/'Control Panel'!$B$147</f>
        <v/>
      </c>
      <c r="D11" s="266" t="inlineStr">
        <is>
          <t>Office, D&amp;O insurance, accounting, tools (tightened)</t>
        </is>
      </c>
    </row>
    <row r="12">
      <c r="A12" s="266" t="inlineStr">
        <is>
          <t>Reserve / contingency</t>
        </is>
      </c>
      <c r="B12" s="273">
        <f>'Control Panel'!B147*'Control Panel'!B150</f>
        <v/>
      </c>
      <c r="C12" s="274">
        <f>B12/'Control Panel'!$B$147</f>
        <v/>
      </c>
      <c r="D12" s="266" t="inlineStr">
        <is>
          <t>25% reserve per policy - 4-5 months buffer</t>
        </is>
      </c>
    </row>
    <row r="13">
      <c r="A13" s="322" t="inlineStr">
        <is>
          <t>TOTAL</t>
        </is>
      </c>
      <c r="B13" s="345">
        <f>SUM(B6:B12)</f>
        <v/>
      </c>
      <c r="C13" s="346">
        <f>SUM(C6:C12)</f>
        <v/>
      </c>
      <c r="D13" s="322" t="n"/>
    </row>
    <row r="15">
      <c r="A15" s="340" t="inlineStr">
        <is>
          <t>TEAM CASH COMP DETAIL (15 MONTHS POST-CLOSE)</t>
        </is>
      </c>
    </row>
    <row r="16">
      <c r="A16" s="338" t="inlineStr">
        <is>
          <t>Role</t>
        </is>
      </c>
      <c r="B16" s="338" t="inlineStr">
        <is>
          <t>Cash Comp</t>
        </is>
      </c>
      <c r="C16" s="338" t="inlineStr">
        <is>
          <t>Benefits (18%)</t>
        </is>
      </c>
      <c r="D16" s="338" t="inlineStr">
        <is>
          <t>Total</t>
        </is>
      </c>
    </row>
    <row r="17">
      <c r="A17" s="266" t="inlineStr">
        <is>
          <t>Chad (CEO) @ $8K/mo</t>
        </is>
      </c>
      <c r="B17" s="273" t="n">
        <v>120000</v>
      </c>
      <c r="C17" s="273" t="n">
        <v>21600</v>
      </c>
      <c r="D17" s="273" t="n">
        <v>141600</v>
      </c>
    </row>
    <row r="18">
      <c r="A18" s="266" t="inlineStr">
        <is>
          <t>CTO (Phase 1 hire) @ $15K/mo</t>
        </is>
      </c>
      <c r="B18" s="273" t="n">
        <v>225000</v>
      </c>
      <c r="C18" s="273" t="n">
        <v>40500</v>
      </c>
      <c r="D18" s="273" t="n">
        <v>265500</v>
      </c>
    </row>
    <row r="19">
      <c r="A19" s="266" t="inlineStr">
        <is>
          <t>Zed (Head Architect)</t>
        </is>
      </c>
      <c r="B19" s="273" t="n">
        <v>212500</v>
      </c>
      <c r="C19" s="273" t="n">
        <v>38250</v>
      </c>
      <c r="D19" s="273" t="n">
        <v>250750</v>
      </c>
    </row>
    <row r="20">
      <c r="A20" s="266" t="inlineStr">
        <is>
          <t>Smart Contract Dev</t>
        </is>
      </c>
      <c r="B20" s="273" t="n">
        <v>181250</v>
      </c>
      <c r="C20" s="273" t="n">
        <v>32625</v>
      </c>
      <c r="D20" s="273" t="n">
        <v>213875</v>
      </c>
    </row>
    <row r="21">
      <c r="A21" s="266" t="inlineStr">
        <is>
          <t>Backend Dev</t>
        </is>
      </c>
      <c r="B21" s="273" t="n">
        <v>181250</v>
      </c>
      <c r="C21" s="273" t="n">
        <v>32625</v>
      </c>
      <c r="D21" s="273" t="n">
        <v>213875</v>
      </c>
    </row>
    <row r="22">
      <c r="A22" s="266" t="inlineStr">
        <is>
          <t>DevOps 0.5 FTE</t>
        </is>
      </c>
      <c r="B22" s="273" t="n">
        <v>70000</v>
      </c>
      <c r="C22" s="273" t="n">
        <v>12600</v>
      </c>
      <c r="D22" s="273" t="n">
        <v>82600</v>
      </c>
    </row>
    <row r="23">
      <c r="A23" s="266" t="inlineStr">
        <is>
          <t>Exec Asst / Ops 0.5 FTE</t>
        </is>
      </c>
      <c r="B23" s="273" t="n">
        <v>30000</v>
      </c>
      <c r="C23" s="273" t="n">
        <v>5400</v>
      </c>
      <c r="D23" s="273" t="n">
        <v>35400</v>
      </c>
    </row>
    <row r="24">
      <c r="A24" s="266" t="inlineStr">
        <is>
          <t>Kevin (CMO PT) @ $4K/mo</t>
        </is>
      </c>
      <c r="B24" s="273" t="n">
        <v>60000</v>
      </c>
      <c r="C24" s="273" t="n">
        <v>0</v>
      </c>
      <c r="D24" s="273" t="n">
        <v>60000</v>
      </c>
    </row>
    <row r="25">
      <c r="A25" s="266" t="inlineStr">
        <is>
          <t>Bruce (Advisor via Mench) @ $6K/mo</t>
        </is>
      </c>
      <c r="B25" s="273" t="n">
        <v>90000</v>
      </c>
      <c r="C25" s="273" t="n">
        <v>0</v>
      </c>
      <c r="D25" s="273" t="n">
        <v>90000</v>
      </c>
    </row>
    <row r="26">
      <c r="A26" s="266" t="inlineStr">
        <is>
          <t>Dean (Advisor) @ $5K/mo</t>
        </is>
      </c>
      <c r="B26" s="273" t="n">
        <v>75000</v>
      </c>
      <c r="C26" s="273" t="n">
        <v>0</v>
      </c>
      <c r="D26" s="273" t="n">
        <v>75000</v>
      </c>
    </row>
    <row r="27">
      <c r="A27" s="275" t="inlineStr">
        <is>
          <t>Fractional CFO @ $6K/mo</t>
        </is>
      </c>
      <c r="B27" s="276" t="n">
        <v>90000</v>
      </c>
      <c r="C27" s="276" t="n">
        <v>0</v>
      </c>
      <c r="D27" s="276" t="n">
        <v>90000</v>
      </c>
    </row>
    <row r="28">
      <c r="A28" s="322" t="inlineStr">
        <is>
          <t>SUBTOTAL</t>
        </is>
      </c>
      <c r="B28" s="321">
        <f>SUM(B17:B27)</f>
        <v/>
      </c>
      <c r="C28" s="321">
        <f>SUM(C17:C27)</f>
        <v/>
      </c>
      <c r="D28" s="321">
        <f>SUM(D17:D27)</f>
        <v/>
      </c>
    </row>
    <row r="29">
      <c r="A29" s="337" t="inlineStr">
        <is>
          <t>MATH CHECK: Team $1,519K + DevEx $492K + Legal $200K + Compliance $150K + BD $140K + G&amp;A $124K = $2,625K operating</t>
        </is>
      </c>
    </row>
    <row r="30">
      <c r="A30" s="266" t="inlineStr">
        <is>
          <t>Operating $2,625K + Reserve $875K = $3,500K total pre-seed</t>
        </is>
      </c>
      <c r="B30" s="266" t="inlineStr">
        <is>
          <t>$125,000 / mo</t>
        </is>
      </c>
    </row>
    <row r="31">
      <c r="A31" s="266" t="inlineStr">
        <is>
          <t>With reserve drawn</t>
        </is>
      </c>
      <c r="B31" s="266" t="inlineStr">
        <is>
          <t>$167,000 / mo</t>
        </is>
      </c>
    </row>
    <row r="32">
      <c r="A32" s="340" t="inlineStr">
        <is>
          <t>MONTHLY BURN</t>
        </is>
      </c>
      <c r="B32" s="266" t="inlineStr">
        <is>
          <t>18 months</t>
        </is>
      </c>
    </row>
    <row r="33">
      <c r="A33" s="266" t="inlineStr">
        <is>
          <t>Operating burn (excl. reserve)</t>
        </is>
      </c>
      <c r="B33" s="266" t="inlineStr">
        <is>
          <t>$175,000 / mo</t>
        </is>
      </c>
    </row>
    <row r="34">
      <c r="A34" s="131" t="inlineStr">
        <is>
          <t>With reserve drawn</t>
        </is>
      </c>
      <c r="B34" s="131" t="inlineStr">
        <is>
          <t>$233,000 / mo</t>
        </is>
      </c>
    </row>
    <row r="35">
      <c r="A35" s="269" t="inlineStr">
        <is>
          <t>Runway (op-ex only)</t>
        </is>
      </c>
      <c r="B35" s="131" t="inlineStr">
        <is>
          <t>15 months</t>
        </is>
      </c>
    </row>
    <row r="36">
      <c r="A36" s="266" t="inlineStr">
        <is>
          <t>Runway (drawing reserve)</t>
        </is>
      </c>
      <c r="B36" s="131" t="inlineStr">
        <is>
          <t>20 months</t>
        </is>
      </c>
    </row>
    <row r="37">
      <c r="A37" s="266" t="inlineStr">
        <is>
          <t>[ ] ATB testnet integration live</t>
        </is>
      </c>
    </row>
    <row r="38">
      <c r="A38" s="337" t="inlineStr">
        <is>
          <t>SIGNAL FOR SEED UNLOCK - CHECKLIST</t>
        </is>
      </c>
    </row>
    <row r="39">
      <c r="A39" s="266" t="inlineStr">
        <is>
          <t>[ ] Alberta Sandbox admission</t>
        </is>
      </c>
    </row>
    <row r="40">
      <c r="A40" s="266" t="inlineStr">
        <is>
          <t>[ ] ATB testnet integration live</t>
        </is>
      </c>
    </row>
    <row r="41">
      <c r="A41" s="266" t="inlineStr">
        <is>
          <t>[ ] 2 additional bank MOUs signed</t>
        </is>
      </c>
    </row>
    <row r="42">
      <c r="A42" s="131" t="inlineStr">
        <is>
          <t>[ ] SPEER Phase 1+2 production-ready</t>
        </is>
      </c>
    </row>
    <row r="43">
      <c r="A43" s="131" t="inlineStr">
        <is>
          <t>[ ] CIRO framework compliance verified</t>
        </is>
      </c>
    </row>
    <row r="44">
      <c r="A44" s="131" t="inlineStr">
        <is>
          <t>[ ] $500K-$1M ARR pipeline documented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2" customWidth="1" style="133" min="1" max="1"/>
    <col width="18" customWidth="1" style="133" min="2" max="2"/>
    <col width="55" customWidth="1" style="133" min="3" max="3"/>
    <col width="45" customWidth="1" style="133" min="4" max="4"/>
    <col width="16" customWidth="1" style="133" min="5" max="5"/>
    <col width="16" customWidth="1" style="133" min="6" max="6"/>
    <col width="55" customWidth="1" style="133" min="7" max="7"/>
  </cols>
  <sheetData>
    <row r="1">
      <c r="A1" s="347" t="inlineStr">
        <is>
          <t>4ORM FINANCE - SEED ROUND SIZING</t>
        </is>
      </c>
    </row>
    <row r="2">
      <c r="A2" s="344" t="inlineStr">
        <is>
          <t>Scenario planning for Seed round (H1 2028 target close, 15 months post-Seed to product-in-market)</t>
        </is>
      </c>
    </row>
    <row r="4">
      <c r="A4" s="337" t="inlineStr">
        <is>
          <t>SCENARIO COMPARISON</t>
        </is>
      </c>
    </row>
    <row r="5">
      <c r="A5" s="338" t="inlineStr">
        <is>
          <t>Scenario</t>
        </is>
      </c>
      <c r="B5" s="338" t="inlineStr">
        <is>
          <t>Raise</t>
        </is>
      </c>
      <c r="C5" s="338" t="inlineStr">
        <is>
          <t>Pre-Money</t>
        </is>
      </c>
      <c r="D5" s="338" t="inlineStr">
        <is>
          <t>Post-Money</t>
        </is>
      </c>
      <c r="E5" s="338" t="inlineStr">
        <is>
          <t>Dilution</t>
        </is>
      </c>
      <c r="F5" s="338" t="inlineStr">
        <is>
          <t>Runway (mo)</t>
        </is>
      </c>
    </row>
    <row r="6">
      <c r="A6" s="266" t="inlineStr">
        <is>
          <t>Conservative</t>
        </is>
      </c>
      <c r="B6" s="273" t="n">
        <v>10000000</v>
      </c>
      <c r="C6" s="273" t="n">
        <v>22000000</v>
      </c>
      <c r="D6" s="273" t="n">
        <v>32000000</v>
      </c>
      <c r="E6" s="274" t="n">
        <v>0.313</v>
      </c>
      <c r="F6" s="266" t="n">
        <v>20</v>
      </c>
    </row>
    <row r="7">
      <c r="A7" s="266" t="inlineStr">
        <is>
          <t>Base</t>
        </is>
      </c>
      <c r="B7" s="273" t="n">
        <v>15000000</v>
      </c>
      <c r="C7" s="273" t="n">
        <v>30000000</v>
      </c>
      <c r="D7" s="273" t="n">
        <v>45000000</v>
      </c>
      <c r="E7" s="274" t="n">
        <v>0.333</v>
      </c>
      <c r="F7" s="266" t="n">
        <v>24</v>
      </c>
    </row>
    <row r="8">
      <c r="A8" s="266" t="inlineStr">
        <is>
          <t>Aggressive</t>
        </is>
      </c>
      <c r="B8" s="273" t="n">
        <v>20000000</v>
      </c>
      <c r="C8" s="273" t="n">
        <v>40000000</v>
      </c>
      <c r="D8" s="273" t="n">
        <v>60000000</v>
      </c>
      <c r="E8" s="274" t="n">
        <v>0.333</v>
      </c>
      <c r="F8" s="266" t="n">
        <v>24</v>
      </c>
    </row>
    <row r="9">
      <c r="A9" s="266" t="inlineStr">
        <is>
          <t>Stretch</t>
        </is>
      </c>
      <c r="B9" s="273" t="n">
        <v>25000000</v>
      </c>
      <c r="C9" s="273" t="n">
        <v>50000000</v>
      </c>
      <c r="D9" s="273" t="n">
        <v>75000000</v>
      </c>
      <c r="E9" s="274" t="n">
        <v>0.333</v>
      </c>
      <c r="F9" s="266" t="n">
        <v>30</v>
      </c>
    </row>
    <row r="10">
      <c r="A10" s="266" t="inlineStr">
        <is>
          <t>Series-A profile</t>
        </is>
      </c>
      <c r="B10" s="273" t="n">
        <v>30000000</v>
      </c>
      <c r="C10" s="273" t="n">
        <v>70000000</v>
      </c>
      <c r="D10" s="273" t="n">
        <v>100000000</v>
      </c>
      <c r="E10" s="274" t="n">
        <v>0.3</v>
      </c>
      <c r="F10" s="266" t="n">
        <v>36</v>
      </c>
    </row>
    <row r="13">
      <c r="A13" s="340" t="inlineStr">
        <is>
          <t>BASE CASE ($15M) DEPLOYMENT</t>
        </is>
      </c>
    </row>
    <row r="14">
      <c r="A14" s="338" t="inlineStr">
        <is>
          <t>Category</t>
        </is>
      </c>
      <c r="B14" s="338" t="inlineStr">
        <is>
          <t>Amount</t>
        </is>
      </c>
      <c r="C14" s="338" t="inlineStr">
        <is>
          <t>% of $15M</t>
        </is>
      </c>
    </row>
    <row r="15">
      <c r="A15" s="266" t="inlineStr">
        <is>
          <t>Product / Engineering</t>
        </is>
      </c>
      <c r="B15" s="273" t="n">
        <v>5250000</v>
      </c>
      <c r="C15" s="274" t="n">
        <v>0.35</v>
      </c>
    </row>
    <row r="16">
      <c r="A16" s="266" t="inlineStr">
        <is>
          <t>Regulatory / Compliance</t>
        </is>
      </c>
      <c r="B16" s="273" t="n">
        <v>2250000</v>
      </c>
      <c r="C16" s="274" t="n">
        <v>0.15</v>
      </c>
    </row>
    <row r="17">
      <c r="A17" s="266" t="inlineStr">
        <is>
          <t>GTM / BD</t>
        </is>
      </c>
      <c r="B17" s="273" t="n">
        <v>2250000</v>
      </c>
      <c r="C17" s="274" t="n">
        <v>0.15</v>
      </c>
    </row>
    <row r="18">
      <c r="A18" s="266" t="inlineStr">
        <is>
          <t>Team scale (Phase 2)</t>
        </is>
      </c>
      <c r="B18" s="273" t="n">
        <v>3000000</v>
      </c>
      <c r="C18" s="274" t="n">
        <v>0.2</v>
      </c>
    </row>
    <row r="19">
      <c r="A19" s="266" t="inlineStr">
        <is>
          <t>Reserve</t>
        </is>
      </c>
      <c r="B19" s="273" t="n">
        <v>2250000</v>
      </c>
      <c r="C19" s="274" t="n">
        <v>0.15</v>
      </c>
    </row>
    <row r="20">
      <c r="A20" s="322" t="inlineStr">
        <is>
          <t>TOTAL</t>
        </is>
      </c>
      <c r="B20" s="345">
        <f>SUM(B15:B19)</f>
        <v/>
      </c>
      <c r="C20" s="346">
        <f>SUM(C15:C19)</f>
        <v/>
      </c>
      <c r="D20" s="322" t="n"/>
      <c r="E20" s="322" t="n"/>
      <c r="F20" s="322" t="n"/>
    </row>
    <row r="22">
      <c r="A22" s="337" t="inlineStr">
        <is>
          <t>COMPARABLES ANCHORING</t>
        </is>
      </c>
    </row>
    <row r="23">
      <c r="A23" s="348" t="inlineStr">
        <is>
          <t>Company</t>
        </is>
      </c>
      <c r="B23" s="348" t="inlineStr">
        <is>
          <t>Round</t>
        </is>
      </c>
      <c r="C23" s="348" t="inlineStr">
        <is>
          <t>Details</t>
        </is>
      </c>
      <c r="D23" s="348" t="inlineStr">
        <is>
          <t>Notes</t>
        </is>
      </c>
    </row>
    <row r="24" ht="45" customHeight="1" s="133">
      <c r="A24" s="288" t="inlineStr">
        <is>
          <t>Cybrid (Toronto, stablecoin infra)</t>
        </is>
      </c>
      <c r="B24" s="288" t="inlineStr">
        <is>
          <t>Seed to Series A</t>
        </is>
      </c>
      <c r="C24" s="288" t="inlineStr">
        <is>
          <t>$3.8M CAD seed (Apr 2022, Golden lead) to $10M USD Series A (2025, BDC Capital Growth Venture Fund lead)</t>
        </is>
      </c>
      <c r="D24" s="288" t="inlineStr">
        <is>
          <t>Closest direct Canadian precedent for a regulated fintech infrastructure seed-to-A trajectory</t>
        </is>
      </c>
    </row>
    <row r="25" ht="45" customHeight="1" s="133">
      <c r="A25" s="288" t="inlineStr">
        <is>
          <t>Tetra Trust (Calgary, digital custodian)</t>
        </is>
      </c>
      <c r="B25" s="288" t="inlineStr">
        <is>
          <t>Multi-round</t>
        </is>
      </c>
      <c r="C25" s="288" t="inlineStr">
        <is>
          <t>~$15M CAD total equity across rounds + $10M CAD parent stablecoin round (2025)</t>
        </is>
      </c>
      <c r="D25" s="288" t="inlineStr">
        <is>
          <t>Anchor backers: ATB Financial, National Bank of Canada, Wealthsimple, Coinbase Ventures. Canada's first qualified digital asset custodian.</t>
        </is>
      </c>
    </row>
    <row r="26" ht="45" customHeight="1" s="133">
      <c r="A26" s="288" t="inlineStr">
        <is>
          <t>Balance Trust (Toronto, digital custodian)</t>
        </is>
      </c>
      <c r="B26" s="288" t="inlineStr">
        <is>
          <t>Regulatory launch</t>
        </is>
      </c>
      <c r="C26" s="288" t="inlineStr">
        <is>
          <t>$10M CAD parent committed regulatory capital (Oct 2024)</t>
        </is>
      </c>
      <c r="D26" s="288" t="inlineStr">
        <is>
          <t>Canada's second qualified digital asset custodian. No external round for trust launch.</t>
        </is>
      </c>
    </row>
    <row r="27" ht="45" customHeight="1" s="133">
      <c r="A27" s="288" t="inlineStr">
        <is>
          <t>Ondo Finance (US, RWA tokenization)</t>
        </is>
      </c>
      <c r="B27" s="288" t="inlineStr">
        <is>
          <t>Seed</t>
        </is>
      </c>
      <c r="C27" s="288" t="inlineStr">
        <is>
          <t>$4M USD (Aug 2021) at ~$130M USD post-money. Pantera + DCG lead</t>
        </is>
      </c>
      <c r="D27" s="288" t="inlineStr">
        <is>
          <t>2021 US environment; discount ~65-75% for Canadian 2026</t>
        </is>
      </c>
    </row>
    <row r="28" ht="45" customHeight="1" s="133">
      <c r="A28" s="288" t="inlineStr">
        <is>
          <t>Fnality (UK, wholesale settlement)</t>
        </is>
      </c>
      <c r="B28" s="288" t="inlineStr">
        <is>
          <t>Series B / C</t>
        </is>
      </c>
      <c r="C28" s="288" t="inlineStr">
        <is>
          <t>$95M USD Series B (Nov 2023, Goldman + BNP lead) + $133M USD Series C (Sept 2025)</t>
        </is>
      </c>
      <c r="D28" s="288" t="inlineStr">
        <is>
          <t>Global bank-institutional analog to 4orm. Later-stage benchmark.</t>
        </is>
      </c>
    </row>
    <row r="29" ht="45" customHeight="1" s="133">
      <c r="A29" s="288" t="inlineStr">
        <is>
          <t>BondbloX (Singapore, bond tokenization)</t>
        </is>
      </c>
      <c r="B29" s="288" t="inlineStr">
        <is>
          <t>Series A / B</t>
        </is>
      </c>
      <c r="C29" s="288" t="inlineStr">
        <is>
          <t>~$12M USD total across A ($6M Jun 2021) and B ($6M Nov 2023)</t>
        </is>
      </c>
      <c r="D29" s="288" t="inlineStr">
        <is>
          <t>Uses Hyperledger Sawtooth.</t>
        </is>
      </c>
    </row>
    <row r="30">
      <c r="A30" s="289" t="inlineStr">
        <is>
          <t>Sources: BetaKit, Crunchbase, Fintech Futures, PitchBook, Tracxn.</t>
        </is>
      </c>
    </row>
    <row r="32">
      <c r="A32" s="340" t="inlineStr">
        <is>
          <t>VALUATION STEP-UP</t>
        </is>
      </c>
    </row>
    <row r="33">
      <c r="A33" s="266" t="inlineStr">
        <is>
          <t>Pre-Seed pre-money: $10M CAD</t>
        </is>
      </c>
    </row>
    <row r="34">
      <c r="A34" s="266" t="inlineStr">
        <is>
          <t>Seed pre-money (Base case): $30M CAD</t>
        </is>
      </c>
    </row>
    <row r="35">
      <c r="A35" s="272" t="inlineStr">
        <is>
          <t>Step-up multiple: 3.0x</t>
        </is>
      </c>
    </row>
    <row r="36" ht="45" customHeight="1" s="133">
      <c r="A36" s="290" t="inlineStr">
        <is>
          <t>Note: Cybrid trajectory suggests ~2.5-3x is achievable for validated Canadian regulated fintech; Tetra Trust and Balance Trust show that bank co-invest is available if the signal is strong.</t>
        </is>
      </c>
    </row>
    <row r="37">
      <c r="A37" s="337" t="inlineStr">
        <is>
          <t>SEED UNLOCK SIGNAL - CHECKLIST</t>
        </is>
      </c>
    </row>
    <row r="38">
      <c r="A38" s="266" t="inlineStr">
        <is>
          <t>[ ] Alberta Sandbox admission</t>
        </is>
      </c>
    </row>
    <row r="39">
      <c r="A39" s="266" t="inlineStr">
        <is>
          <t>[ ] ATB testnet integration live</t>
        </is>
      </c>
    </row>
    <row r="40">
      <c r="A40" s="266" t="inlineStr">
        <is>
          <t>[ ] 2 additional bank MOUs signed</t>
        </is>
      </c>
    </row>
    <row r="41">
      <c r="A41" s="266" t="inlineStr">
        <is>
          <t>[ ] SPEER Phase 1+2 production-ready</t>
        </is>
      </c>
    </row>
    <row r="42">
      <c r="A42" s="266" t="inlineStr">
        <is>
          <t>[ ] CIRO framework compliance verified</t>
        </is>
      </c>
    </row>
    <row r="43">
      <c r="A43" s="266" t="inlineStr">
        <is>
          <t>[ ] $500K-$1M ARR pipeline documented</t>
        </is>
      </c>
    </row>
  </sheetData>
  <mergeCells count="2">
    <mergeCell ref="A36:D36"/>
    <mergeCell ref="A30:D3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8" customWidth="1" style="133" min="1" max="1"/>
    <col width="22" customWidth="1" style="133" min="2" max="2"/>
    <col width="60" customWidth="1" style="133" min="3" max="3"/>
  </cols>
  <sheetData>
    <row r="1">
      <c r="A1" s="347" t="inlineStr">
        <is>
          <t>4ORM FINANCE - NON-DILUTIVE CAPITAL STACK</t>
        </is>
      </c>
    </row>
    <row r="2">
      <c r="A2" s="344" t="inlineStr">
        <is>
          <t>Grants, tax credits, and advance-financing programs supporting the 4orm build</t>
        </is>
      </c>
    </row>
    <row r="4">
      <c r="A4" s="337" t="inlineStr">
        <is>
          <t>ACCESSIBLE NOW</t>
        </is>
      </c>
    </row>
    <row r="5">
      <c r="A5" s="266" t="inlineStr">
        <is>
          <t>SR&amp;ED (Federal)</t>
        </is>
      </c>
      <c r="B5" s="266" t="inlineStr">
        <is>
          <t>$150K-$300K / yr</t>
        </is>
      </c>
      <c r="C5" s="266" t="inlineStr">
        <is>
          <t>35% refundable on qualifying R&amp;D, up to $3M CCPC ceiling</t>
        </is>
      </c>
    </row>
    <row r="6">
      <c r="A6" s="266" t="inlineStr">
        <is>
          <t>Alberta Innovation Employment Grant</t>
        </is>
      </c>
      <c r="B6" s="266" t="inlineStr">
        <is>
          <t>$50K-$100K / yr</t>
        </is>
      </c>
      <c r="C6" s="266" t="inlineStr">
        <is>
          <t>8% base + 12% incremental; stacks with SR&amp;ED</t>
        </is>
      </c>
    </row>
    <row r="7">
      <c r="A7" s="266" t="inlineStr">
        <is>
          <t>NRC IRAP contribution funding</t>
        </is>
      </c>
      <c r="B7" s="266" t="inlineStr">
        <is>
          <t>$100K-$500K project</t>
        </is>
      </c>
      <c r="C7" s="266" t="inlineStr">
        <is>
          <t>Up to 80% of eligible labour; project-based</t>
        </is>
      </c>
    </row>
    <row r="8">
      <c r="A8" s="266" t="inlineStr">
        <is>
          <t>CDAP Boost Your Business Technology Grant</t>
        </is>
      </c>
      <c r="B8" s="266" t="inlineStr">
        <is>
          <t>$15,000 CAD</t>
        </is>
      </c>
      <c r="C8" s="265" t="inlineStr">
        <is>
          <t>Federal Canada Digital Adoption Program. Grant for digital adoption plan. Low application effort (~40 hours). No R&amp;D matching required. Trivial for scale but real cash. Timing: 30-60 days from application.</t>
        </is>
      </c>
    </row>
    <row r="9" ht="60" customHeight="1" s="133">
      <c r="A9" s="266" t="inlineStr">
        <is>
          <t>BC Small Business Venture Capital Tax Credit (SBVCTC)</t>
        </is>
      </c>
      <c r="B9" s="266" t="inlineStr">
        <is>
          <t>Investor-side benefit</t>
        </is>
      </c>
      <c r="C9" s="265" t="inlineStr">
        <is>
          <t>30% tax credit for BC-resident investors up to $200K per investor per year on eligible BC small business investments. Makes 4orm unit offering ~30% more attractive to BC angels. Verify eligibility for Bruce Fair (BC), Kevin Wong (verify province), Don Hickling (verify province). Real capital-raising lever. Timing: Immediate (at time of investment).</t>
        </is>
      </c>
    </row>
    <row r="10" ht="75" customHeight="1" s="133">
      <c r="A10" s="266" t="inlineStr">
        <is>
          <t>PrairiesCan (RIE / BSP)</t>
        </is>
      </c>
      <c r="B10" s="266" t="inlineStr">
        <is>
          <t>$250,000 to $1,000,000 CAD</t>
        </is>
      </c>
      <c r="C10" s="265" t="inlineStr">
        <is>
          <t>PrairiesCan (Prairies Economic Development Canada) non-repayable contributions for innovation and commercialization. Two programs relevant to 4orm: (1) Regional Innovation Ecosystems (RIE) up to $500K for tech scale-up; (2) Business Scale-Up and Productivity (BSP) up to $10M repayable but with soft terms for high-growth tech. Not tied to R&amp;D dollar match. Alberta-based Calgary HQ is eligible. Application effort ~$20K prep + 4-6 month cycle. Timing: 6-12 months from application.</t>
        </is>
      </c>
    </row>
    <row r="12">
      <c r="A12" s="340" t="inlineStr">
        <is>
          <t>REQUIRES R&amp;D FIRST</t>
        </is>
      </c>
    </row>
    <row r="13">
      <c r="A13" s="266" t="inlineStr">
        <is>
          <t>SR&amp;ED filings need eligible technical activity in the tax year</t>
        </is>
      </c>
    </row>
    <row r="14">
      <c r="A14" s="266" t="inlineStr">
        <is>
          <t>IEG stacks with SR&amp;ED - both require documented eligible R&amp;D labour</t>
        </is>
      </c>
    </row>
    <row r="16">
      <c r="A16" s="337" t="inlineStr">
        <is>
          <t>ADVANCE FINANCING (SR&amp;ED-backed)</t>
        </is>
      </c>
    </row>
    <row r="17">
      <c r="A17" s="266" t="inlineStr">
        <is>
          <t>Providers: Boast, Easly, Venbridge</t>
        </is>
      </c>
    </row>
    <row r="18">
      <c r="A18" s="266" t="inlineStr">
        <is>
          <t>Terms: 60-75% advance on projected SR&amp;ED; monthly draws; ~1.5-2.5% monthly financing cost</t>
        </is>
      </c>
    </row>
    <row r="20">
      <c r="A20" s="349" t="inlineStr">
        <is>
          <t>NOT AVAILABLE</t>
        </is>
      </c>
    </row>
    <row r="21">
      <c r="A21" s="266" t="inlineStr">
        <is>
          <t>AITC (Alberta Investor Tax Credit) - program ended 2019</t>
        </is>
      </c>
    </row>
    <row r="22">
      <c r="A22" s="266" t="inlineStr">
        <is>
          <t>Federal Angel ITC - not enacted</t>
        </is>
      </c>
    </row>
    <row r="24">
      <c r="A24" s="340" t="inlineStr">
        <is>
          <t>PROJECTED 5-YEAR NON-DILUTIVE STACK</t>
        </is>
      </c>
    </row>
    <row r="25">
      <c r="A25" s="338" t="inlineStr">
        <is>
          <t>Year</t>
        </is>
      </c>
      <c r="B25" s="338" t="inlineStr">
        <is>
          <t>Amount</t>
        </is>
      </c>
      <c r="C25" s="338" t="inlineStr">
        <is>
          <t>Notes</t>
        </is>
      </c>
    </row>
    <row r="26">
      <c r="A26" s="266" t="inlineStr">
        <is>
          <t>Yr1 (2026-27)</t>
        </is>
      </c>
      <c r="B26" s="273" t="n">
        <v>50000</v>
      </c>
      <c r="C26" s="266" t="inlineStr">
        <is>
          <t>IRAP + Mitacs during pre-seed</t>
        </is>
      </c>
    </row>
    <row r="27">
      <c r="A27" s="266" t="inlineStr">
        <is>
          <t>Yr2 (2027-28)</t>
        </is>
      </c>
      <c r="B27" s="273" t="n">
        <v>200000</v>
      </c>
      <c r="C27" s="266" t="inlineStr">
        <is>
          <t>First SR&amp;ED claim + IRAP scale</t>
        </is>
      </c>
    </row>
    <row r="28">
      <c r="A28" s="266" t="inlineStr">
        <is>
          <t>Yr3 (2028-29)</t>
        </is>
      </c>
      <c r="B28" s="273" t="n">
        <v>400000</v>
      </c>
      <c r="C28" s="266" t="inlineStr">
        <is>
          <t>SR&amp;ED + IEG + IRAP full-stack</t>
        </is>
      </c>
    </row>
    <row r="29">
      <c r="A29" s="266" t="inlineStr">
        <is>
          <t>Yr4 (2029-30)</t>
        </is>
      </c>
      <c r="B29" s="273" t="n">
        <v>500000</v>
      </c>
      <c r="C29" s="266" t="inlineStr">
        <is>
          <t>Mature R&amp;D pipeline</t>
        </is>
      </c>
    </row>
    <row r="30">
      <c r="A30" s="266" t="inlineStr">
        <is>
          <t>Yr5 (2030-31)</t>
        </is>
      </c>
      <c r="B30" s="273" t="n">
        <v>600000</v>
      </c>
      <c r="C30" s="266" t="inlineStr">
        <is>
          <t>Continued SR&amp;ED + IEG scale</t>
        </is>
      </c>
    </row>
    <row r="31">
      <c r="A31" s="322" t="inlineStr">
        <is>
          <t>5-YR TOTAL</t>
        </is>
      </c>
      <c r="B31" s="345">
        <f>SUM(B26:B30)</f>
        <v/>
      </c>
      <c r="C31" s="322" t="n"/>
    </row>
    <row r="33">
      <c r="A33" s="337" t="inlineStr">
        <is>
          <t>KEY MESSAGE</t>
        </is>
      </c>
    </row>
    <row r="34">
      <c r="A34" s="266" t="inlineStr">
        <is>
          <t>The non-dilutive stack materially extends seed runway and reduces future dilution.</t>
        </is>
      </c>
    </row>
    <row r="35">
      <c r="A35" s="266" t="inlineStr">
        <is>
          <t>It is NOT counted in the $3M pre-seed use of proceeds - treat as upside to base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2026-04-18T18:24:07Z</dcterms:created>
  <dcterms:modified xmlns:dcterms="http://purl.org/dc/terms/" xmlns:xsi="http://www.w3.org/2001/XMLSchema-instance" xsi:type="dcterms:W3CDTF">2026-07-08T09:15:04Z</dcterms:modified>
  <cp:lastModifiedBy>Carmen Ramstead</cp:lastModifiedBy>
  <cp:revision>0</cp:revision>
</cp:coreProperties>
</file>